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t\OneDrive\Escritorio\Actuaria Acatlan\Administracion De Riesgos\"/>
    </mc:Choice>
  </mc:AlternateContent>
  <xr:revisionPtr revIDLastSave="0" documentId="13_ncr:1_{ECA3863A-8331-48F8-A7B5-F1FAE04B2B1B}" xr6:coauthVersionLast="47" xr6:coauthVersionMax="47" xr10:uidLastSave="{00000000-0000-0000-0000-000000000000}"/>
  <bookViews>
    <workbookView xWindow="-120" yWindow="-120" windowWidth="29040" windowHeight="15720" activeTab="2" xr2:uid="{CB976165-D22D-4D36-B8C8-D9F993D1252A}"/>
  </bookViews>
  <sheets>
    <sheet name="PD" sheetId="2" r:id="rId1"/>
    <sheet name="LGD" sheetId="4" r:id="rId2"/>
    <sheet name="Reserva" sheetId="3" r:id="rId3"/>
  </sheets>
  <functionGroups builtInGroupCount="19"/>
  <definedNames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Reserva!$B$12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3" l="1"/>
  <c r="D12" i="3"/>
  <c r="B12" i="3"/>
  <c r="L26" i="3"/>
  <c r="L25" i="3"/>
  <c r="L24" i="3"/>
  <c r="L23" i="3"/>
  <c r="L22" i="3"/>
  <c r="L21" i="3"/>
  <c r="L20" i="3"/>
  <c r="L19" i="3"/>
  <c r="L18" i="3"/>
  <c r="J18" i="3"/>
  <c r="J26" i="3"/>
  <c r="J25" i="3"/>
  <c r="J24" i="3"/>
  <c r="J23" i="3"/>
  <c r="J22" i="3"/>
  <c r="J21" i="3"/>
  <c r="J20" i="3"/>
  <c r="J19" i="3"/>
  <c r="I26" i="3"/>
  <c r="I25" i="3"/>
  <c r="I24" i="3"/>
  <c r="I23" i="3"/>
  <c r="I22" i="3"/>
  <c r="I21" i="3"/>
  <c r="I20" i="3"/>
  <c r="I19" i="3"/>
  <c r="I18" i="3"/>
  <c r="H19" i="3"/>
  <c r="H20" i="3"/>
  <c r="H21" i="3"/>
  <c r="H22" i="3"/>
  <c r="H23" i="3"/>
  <c r="H24" i="3"/>
  <c r="H25" i="3"/>
  <c r="H26" i="3"/>
  <c r="H18" i="3"/>
  <c r="F26" i="3"/>
  <c r="F25" i="3"/>
  <c r="F24" i="3"/>
  <c r="F23" i="3"/>
  <c r="F22" i="3"/>
  <c r="F21" i="3"/>
  <c r="F20" i="3"/>
  <c r="F19" i="3"/>
  <c r="F18" i="3"/>
  <c r="E26" i="3"/>
  <c r="E25" i="3"/>
  <c r="E24" i="3"/>
  <c r="E23" i="3"/>
  <c r="E22" i="3"/>
  <c r="E21" i="3"/>
  <c r="E20" i="3"/>
  <c r="E19" i="3"/>
  <c r="E18" i="3"/>
  <c r="D18" i="3"/>
  <c r="D19" i="3"/>
  <c r="D20" i="3"/>
  <c r="D21" i="3"/>
  <c r="D22" i="3"/>
  <c r="D23" i="3"/>
  <c r="D24" i="3"/>
  <c r="D25" i="3"/>
  <c r="D26" i="3"/>
  <c r="C66" i="2" a="1"/>
  <c r="C66" i="2" s="1"/>
  <c r="L5" i="2"/>
  <c r="G18" i="3" a="1"/>
  <c r="G19" i="3" a="1"/>
  <c r="G18" i="3" l="1"/>
  <c r="G19" i="3"/>
  <c r="C28" i="4"/>
  <c r="AB7" i="2"/>
  <c r="S13" i="2"/>
  <c r="T13" i="2"/>
  <c r="U13" i="2"/>
  <c r="V13" i="2"/>
  <c r="W13" i="2"/>
  <c r="X13" i="2"/>
  <c r="Y13" i="2"/>
  <c r="S12" i="2"/>
  <c r="T12" i="2"/>
  <c r="U12" i="2"/>
  <c r="V12" i="2"/>
  <c r="W12" i="2"/>
  <c r="X12" i="2"/>
  <c r="Y12" i="2"/>
  <c r="S11" i="2"/>
  <c r="T11" i="2"/>
  <c r="U11" i="2"/>
  <c r="V11" i="2"/>
  <c r="W11" i="2"/>
  <c r="X11" i="2"/>
  <c r="Y11" i="2"/>
  <c r="R11" i="2"/>
  <c r="R12" i="2"/>
  <c r="R13" i="2"/>
  <c r="S10" i="2"/>
  <c r="T10" i="2"/>
  <c r="U10" i="2"/>
  <c r="V10" i="2"/>
  <c r="W10" i="2"/>
  <c r="X10" i="2"/>
  <c r="Y10" i="2"/>
  <c r="S9" i="2"/>
  <c r="T9" i="2"/>
  <c r="U9" i="2"/>
  <c r="V9" i="2"/>
  <c r="W9" i="2"/>
  <c r="X9" i="2"/>
  <c r="Y9" i="2"/>
  <c r="S8" i="2"/>
  <c r="T8" i="2"/>
  <c r="U8" i="2"/>
  <c r="V8" i="2"/>
  <c r="W8" i="2"/>
  <c r="X8" i="2"/>
  <c r="X7" i="2" s="1"/>
  <c r="Y8" i="2"/>
  <c r="Y7" i="2" s="1"/>
  <c r="S7" i="2"/>
  <c r="T7" i="2"/>
  <c r="U7" i="2"/>
  <c r="V7" i="2"/>
  <c r="W7" i="2"/>
  <c r="R10" i="2"/>
  <c r="R9" i="2"/>
  <c r="R8" i="2"/>
  <c r="R7" i="2" s="1"/>
  <c r="C78" i="2" a="1"/>
  <c r="C78" i="2" s="1"/>
  <c r="C90" i="2" s="1" a="1"/>
  <c r="C54" i="2" a="1"/>
  <c r="C54" i="2" s="1"/>
  <c r="C42" i="2" a="1"/>
  <c r="C42" i="2" s="1"/>
  <c r="C30" i="2" a="1"/>
  <c r="C30" i="2" s="1"/>
  <c r="C18" i="2" a="1"/>
  <c r="C18" i="2" s="1"/>
  <c r="K25" i="3"/>
  <c r="K26" i="3"/>
  <c r="K24" i="3"/>
  <c r="K23" i="3"/>
  <c r="K22" i="3"/>
  <c r="K21" i="3"/>
  <c r="K20" i="3"/>
  <c r="K19" i="3"/>
  <c r="K18" i="3"/>
  <c r="C27" i="4"/>
  <c r="L6" i="2"/>
  <c r="G22" i="3" a="1"/>
  <c r="G21" i="3" a="1"/>
  <c r="G20" i="3" a="1"/>
  <c r="C90" i="2" l="1"/>
  <c r="C102" i="2" s="1" a="1"/>
  <c r="S15" i="2"/>
  <c r="T15" i="2"/>
  <c r="U15" i="2"/>
  <c r="V15" i="2"/>
  <c r="R15" i="2"/>
  <c r="W15" i="2"/>
  <c r="X15" i="2"/>
  <c r="Y15" i="2"/>
  <c r="V14" i="2"/>
  <c r="W14" i="2"/>
  <c r="U14" i="2"/>
  <c r="T14" i="2"/>
  <c r="S14" i="2"/>
  <c r="R14" i="2"/>
  <c r="Y14" i="2"/>
  <c r="X14" i="2"/>
  <c r="G21" i="3"/>
  <c r="G22" i="3"/>
  <c r="G20" i="3"/>
  <c r="L18" i="2"/>
  <c r="C102" i="2" l="1"/>
  <c r="C114" i="2" s="1" a="1"/>
  <c r="R16" i="2"/>
  <c r="S16" i="2"/>
  <c r="T16" i="2"/>
  <c r="U16" i="2"/>
  <c r="V16" i="2"/>
  <c r="W16" i="2"/>
  <c r="X16" i="2"/>
  <c r="Y16" i="2"/>
  <c r="AB9" i="2"/>
  <c r="C114" i="2" l="1"/>
  <c r="U17" i="2"/>
  <c r="V17" i="2"/>
  <c r="W17" i="2"/>
  <c r="X17" i="2"/>
  <c r="R17" i="2"/>
  <c r="Y17" i="2"/>
  <c r="S17" i="2"/>
  <c r="T17" i="2"/>
  <c r="AD8" i="2"/>
  <c r="AB8" i="2"/>
  <c r="AB10" i="2"/>
  <c r="AD9" i="2" l="1"/>
  <c r="AD7" i="2"/>
  <c r="L24" i="2"/>
  <c r="L25" i="2"/>
  <c r="L19" i="2"/>
  <c r="L23" i="2"/>
  <c r="L20" i="2"/>
  <c r="L21" i="2"/>
  <c r="L22" i="2"/>
  <c r="AB11" i="2" l="1"/>
  <c r="L35" i="2"/>
  <c r="L32" i="2"/>
  <c r="L31" i="2"/>
  <c r="L36" i="2"/>
  <c r="L33" i="2"/>
  <c r="L34" i="2"/>
  <c r="L37" i="2"/>
  <c r="L30" i="2"/>
  <c r="L42" i="2" l="1"/>
  <c r="AD10" i="2"/>
  <c r="L44" i="2"/>
  <c r="L43" i="2"/>
  <c r="L48" i="2"/>
  <c r="L45" i="2"/>
  <c r="L46" i="2"/>
  <c r="L47" i="2"/>
  <c r="L49" i="2"/>
  <c r="L12" i="2"/>
  <c r="AB12" i="2" l="1"/>
  <c r="L9" i="2"/>
  <c r="L7" i="2"/>
  <c r="L10" i="2"/>
  <c r="L8" i="2"/>
  <c r="L11" i="2"/>
  <c r="L57" i="2" l="1"/>
  <c r="AD11" i="2"/>
  <c r="L60" i="2"/>
  <c r="L61" i="2"/>
  <c r="L59" i="2"/>
  <c r="L56" i="2"/>
  <c r="L55" i="2"/>
  <c r="L58" i="2"/>
  <c r="L54" i="2"/>
  <c r="AB13" i="2" l="1"/>
  <c r="L71" i="2" l="1"/>
  <c r="AD12" i="2"/>
  <c r="L72" i="2"/>
  <c r="L66" i="2"/>
  <c r="L70" i="2"/>
  <c r="L69" i="2"/>
  <c r="L68" i="2"/>
  <c r="L67" i="2"/>
  <c r="L73" i="2"/>
  <c r="G23" i="3" a="1"/>
  <c r="G23" i="3" l="1"/>
  <c r="AB14" i="2"/>
  <c r="L84" i="2" l="1"/>
  <c r="AD13" i="2"/>
  <c r="L79" i="2"/>
  <c r="L85" i="2"/>
  <c r="L78" i="2"/>
  <c r="L82" i="2"/>
  <c r="L83" i="2"/>
  <c r="L81" i="2"/>
  <c r="L80" i="2"/>
  <c r="G24" i="3" a="1"/>
  <c r="G24" i="3" l="1"/>
  <c r="L95" i="2"/>
  <c r="AB15" i="2"/>
  <c r="L91" i="2"/>
  <c r="L92" i="2"/>
  <c r="AD14" i="2" l="1"/>
  <c r="L90" i="2"/>
  <c r="L97" i="2"/>
  <c r="L94" i="2"/>
  <c r="L96" i="2"/>
  <c r="L93" i="2"/>
  <c r="G25" i="3" a="1"/>
  <c r="G25" i="3" l="1"/>
  <c r="AB16" i="2"/>
  <c r="L106" i="2"/>
  <c r="AD15" i="2" l="1"/>
  <c r="L109" i="2"/>
  <c r="L108" i="2"/>
  <c r="L104" i="2"/>
  <c r="L103" i="2"/>
  <c r="L105" i="2"/>
  <c r="L107" i="2"/>
  <c r="L102" i="2"/>
  <c r="G26" i="3" a="1"/>
  <c r="G26" i="3" l="1"/>
  <c r="AB17" i="2"/>
  <c r="AD17" i="2" s="1"/>
  <c r="L28" i="3" l="1"/>
  <c r="G13" i="3" s="1"/>
  <c r="AD16" i="2"/>
  <c r="L115" i="2"/>
  <c r="L114" i="2"/>
  <c r="L121" i="2"/>
  <c r="L118" i="2"/>
  <c r="L117" i="2"/>
  <c r="L120" i="2"/>
  <c r="L116" i="2"/>
  <c r="L11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tc={1BB5AF40-C79B-4DDB-B3DA-AF60EDF4D5B6}</author>
  </authors>
  <commentList>
    <comment ref="B5" authorId="0" shapeId="0" xr:uid="{1BB5AF40-C79B-4DDB-B3DA-AF60EDF4D5B6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Calificaciones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tc={DDFDB012-9384-40DC-878D-33BE0FF81CC5}</author>
  </authors>
  <commentList>
    <comment ref="F11" authorId="0" shapeId="0" xr:uid="{DDFDB012-9384-40DC-878D-33BE0FF81CC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Etapas de Riesgo(1,2 y 3)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<sst xmlns="http://schemas.openxmlformats.org/spreadsheetml/2006/main" count="260" uniqueCount="79">
  <si>
    <t>AAA</t>
  </si>
  <si>
    <t>AA</t>
  </si>
  <si>
    <t>A</t>
  </si>
  <si>
    <t>BBB</t>
  </si>
  <si>
    <t>BB</t>
  </si>
  <si>
    <t>B</t>
  </si>
  <si>
    <t>CCC/C</t>
  </si>
  <si>
    <t>D</t>
  </si>
  <si>
    <t>TOTAL</t>
  </si>
  <si>
    <t>Posición en Portafolio</t>
  </si>
  <si>
    <t>Instrumento</t>
  </si>
  <si>
    <t>Precio</t>
  </si>
  <si>
    <t>Valuación Total</t>
  </si>
  <si>
    <t>Títulos</t>
  </si>
  <si>
    <t>Calif. Riesgo Global</t>
  </si>
  <si>
    <t>Fechas de Pago</t>
  </si>
  <si>
    <t>Fecha de Valuación</t>
  </si>
  <si>
    <t>Días x Vencer</t>
  </si>
  <si>
    <r>
      <t>FL</t>
    </r>
    <r>
      <rPr>
        <b/>
        <vertAlign val="subscript"/>
        <sz val="11"/>
        <color theme="1"/>
        <rFont val="Calibri"/>
        <family val="2"/>
        <scheme val="minor"/>
      </rPr>
      <t>i</t>
    </r>
  </si>
  <si>
    <t>Prob Default (PD)</t>
  </si>
  <si>
    <r>
      <t>PSup</t>
    </r>
    <r>
      <rPr>
        <b/>
        <sz val="9"/>
        <color theme="1"/>
        <rFont val="Calibri"/>
        <family val="2"/>
        <scheme val="minor"/>
      </rPr>
      <t>i</t>
    </r>
  </si>
  <si>
    <t>PI</t>
  </si>
  <si>
    <t>Matriz de Transición de 1 año</t>
  </si>
  <si>
    <t>Matriz de Transición de 2 años</t>
  </si>
  <si>
    <t>Matriz de Transición de 3 años</t>
  </si>
  <si>
    <t>Nodo (días)</t>
  </si>
  <si>
    <t>Año</t>
  </si>
  <si>
    <t>1Y</t>
  </si>
  <si>
    <t>2Y</t>
  </si>
  <si>
    <t>3Y</t>
  </si>
  <si>
    <t>4Y</t>
  </si>
  <si>
    <t>5Y</t>
  </si>
  <si>
    <t>Matriz de Transición de 4 años</t>
  </si>
  <si>
    <t>Matriz de Transición de 5 años</t>
  </si>
  <si>
    <t>Matriz de Transición de 6 años</t>
  </si>
  <si>
    <t>Matriz de Transición de 7 años</t>
  </si>
  <si>
    <t>Matriz de Transición de 8 años</t>
  </si>
  <si>
    <t>Matriz de Transición de 9 años</t>
  </si>
  <si>
    <t>Matriz de Transición de 10 años</t>
  </si>
  <si>
    <t>6Y</t>
  </si>
  <si>
    <t>7Y</t>
  </si>
  <si>
    <t>8Y</t>
  </si>
  <si>
    <t>9Y</t>
  </si>
  <si>
    <t>10Y</t>
  </si>
  <si>
    <t>D2_PETB474_340116</t>
  </si>
  <si>
    <t>Valor Nominal</t>
  </si>
  <si>
    <t>Cupón</t>
  </si>
  <si>
    <t>Moneda</t>
  </si>
  <si>
    <t>Vencimiento</t>
  </si>
  <si>
    <t>YTM</t>
  </si>
  <si>
    <t>Calificación de Riesgo</t>
  </si>
  <si>
    <t>Etapa</t>
  </si>
  <si>
    <t>Flujos Nominales</t>
  </si>
  <si>
    <r>
      <t>BB</t>
    </r>
    <r>
      <rPr>
        <b/>
        <sz val="8"/>
        <color theme="1"/>
        <rFont val="Calibri"/>
        <family val="2"/>
        <scheme val="minor"/>
      </rPr>
      <t>Inf</t>
    </r>
  </si>
  <si>
    <t>Dinf</t>
  </si>
  <si>
    <t>Dsup</t>
  </si>
  <si>
    <r>
      <t>BB</t>
    </r>
    <r>
      <rPr>
        <b/>
        <sz val="8"/>
        <color theme="1"/>
        <rFont val="Calibri"/>
        <family val="2"/>
        <scheme val="minor"/>
      </rPr>
      <t>Sup</t>
    </r>
  </si>
  <si>
    <t>PCE</t>
  </si>
  <si>
    <t>Metodología de Deterioro - Reserva de  Vida Completa</t>
  </si>
  <si>
    <t>Etapa 1</t>
  </si>
  <si>
    <t>Etapa 3</t>
  </si>
  <si>
    <t>Etapa 2</t>
  </si>
  <si>
    <t>Datos del Bono</t>
  </si>
  <si>
    <r>
      <t>PCE</t>
    </r>
    <r>
      <rPr>
        <b/>
        <sz val="8"/>
        <color rgb="FFFF0000"/>
        <rFont val="Calibri"/>
        <family val="2"/>
        <scheme val="minor"/>
      </rPr>
      <t>LT</t>
    </r>
    <r>
      <rPr>
        <b/>
        <sz val="11"/>
        <color rgb="FFFF0000"/>
        <rFont val="Calibri"/>
        <family val="2"/>
        <scheme val="minor"/>
      </rPr>
      <t xml:space="preserve"> =</t>
    </r>
  </si>
  <si>
    <t>Ejercicio Deterioro Instrumento de Deuda</t>
  </si>
  <si>
    <t>GBP</t>
  </si>
  <si>
    <t>Matriz de Probabilidad de Default por Calificación Crediticia en el tiempo</t>
  </si>
  <si>
    <t>LGD = 1 - Recovery Rate :</t>
  </si>
  <si>
    <t>Recuperación (Recovery Rate):</t>
  </si>
  <si>
    <t>Reseva Lifetime</t>
  </si>
  <si>
    <r>
      <t>EAD</t>
    </r>
    <r>
      <rPr>
        <b/>
        <vertAlign val="subscript"/>
        <sz val="11"/>
        <color theme="1"/>
        <rFont val="Calibri"/>
        <family val="2"/>
        <scheme val="minor"/>
      </rPr>
      <t>t</t>
    </r>
  </si>
  <si>
    <t>LGD</t>
  </si>
  <si>
    <t xml:space="preserve">- Loans = </t>
  </si>
  <si>
    <t xml:space="preserve">- Bonds = </t>
  </si>
  <si>
    <t>LGD Loans =</t>
  </si>
  <si>
    <t>LGD Bonds =</t>
  </si>
  <si>
    <t>Corporativas - US</t>
  </si>
  <si>
    <t>PIxSPxEI</t>
  </si>
  <si>
    <t>Valor del dinero en el tiempo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</si>
</sst>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0.0000"/>
    <numFmt numFmtId="166" formatCode="0.000%"/>
    <numFmt numFmtId="167" formatCode="0.000"/>
    <numFmt numFmtId="168" formatCode="_-&quot;$&quot;* #,##0.0000_-;\-&quot;$&quot;* #,##0.0000_-;_-&quot;$&quot;* &quot;-&quot;??_-;_-@_-"/>
    <numFmt numFmtId="169" formatCode="_-* #,##0.0000_-;\-* #,##0.000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3" applyNumberFormat="1" applyFont="1" applyAlignment="1">
      <alignment horizontal="center"/>
    </xf>
    <xf numFmtId="164" fontId="0" fillId="0" borderId="1" xfId="3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64" fontId="0" fillId="2" borderId="0" xfId="3" applyNumberFormat="1" applyFont="1" applyFill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4" fillId="0" borderId="0" xfId="0" applyFont="1"/>
    <xf numFmtId="0" fontId="5" fillId="0" borderId="0" xfId="0" applyFont="1"/>
    <xf numFmtId="165" fontId="0" fillId="0" borderId="0" xfId="0" applyNumberFormat="1" applyAlignment="1">
      <alignment horizontal="center"/>
    </xf>
    <xf numFmtId="43" fontId="0" fillId="0" borderId="0" xfId="1" applyFont="1"/>
    <xf numFmtId="44" fontId="3" fillId="5" borderId="0" xfId="2" applyFont="1" applyFill="1"/>
    <xf numFmtId="14" fontId="0" fillId="0" borderId="0" xfId="0" applyNumberFormat="1"/>
    <xf numFmtId="3" fontId="0" fillId="0" borderId="0" xfId="0" applyNumberFormat="1" applyAlignment="1">
      <alignment horizontal="center"/>
    </xf>
    <xf numFmtId="0" fontId="8" fillId="0" borderId="0" xfId="0" applyFont="1"/>
    <xf numFmtId="0" fontId="10" fillId="0" borderId="0" xfId="0" applyFont="1"/>
    <xf numFmtId="164" fontId="0" fillId="0" borderId="0" xfId="3" applyNumberFormat="1" applyFont="1"/>
    <xf numFmtId="164" fontId="0" fillId="0" borderId="0" xfId="0" applyNumberFormat="1" applyAlignment="1">
      <alignment horizontal="center"/>
    </xf>
    <xf numFmtId="0" fontId="2" fillId="7" borderId="0" xfId="0" applyFont="1" applyFill="1"/>
    <xf numFmtId="0" fontId="2" fillId="2" borderId="0" xfId="0" applyFont="1" applyFill="1"/>
    <xf numFmtId="0" fontId="2" fillId="8" borderId="0" xfId="0" applyFont="1" applyFill="1"/>
    <xf numFmtId="0" fontId="10" fillId="0" borderId="0" xfId="0" applyFont="1" applyAlignment="1">
      <alignment horizontal="left"/>
    </xf>
    <xf numFmtId="0" fontId="0" fillId="9" borderId="0" xfId="0" applyFill="1"/>
    <xf numFmtId="164" fontId="0" fillId="9" borderId="0" xfId="3" applyNumberFormat="1" applyFont="1" applyFill="1"/>
    <xf numFmtId="0" fontId="2" fillId="2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8" fontId="0" fillId="0" borderId="0" xfId="2" applyNumberFormat="1" applyFont="1"/>
    <xf numFmtId="169" fontId="3" fillId="5" borderId="0" xfId="1" applyNumberFormat="1" applyFont="1" applyFill="1" applyAlignment="1">
      <alignment horizontal="center"/>
    </xf>
    <xf numFmtId="10" fontId="12" fillId="0" borderId="0" xfId="3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165" fontId="0" fillId="11" borderId="0" xfId="0" applyNumberFormat="1" applyFill="1" applyAlignment="1">
      <alignment horizontal="center"/>
    </xf>
    <xf numFmtId="167" fontId="0" fillId="11" borderId="0" xfId="0" applyNumberFormat="1" applyFill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3" xfId="0" applyFont="1" applyBorder="1"/>
    <xf numFmtId="0" fontId="2" fillId="6" borderId="3" xfId="0" applyFont="1" applyFill="1" applyBorder="1" applyAlignment="1">
      <alignment horizontal="center"/>
    </xf>
    <xf numFmtId="0" fontId="11" fillId="10" borderId="3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0" borderId="3" xfId="0" applyBorder="1"/>
    <xf numFmtId="166" fontId="0" fillId="0" borderId="3" xfId="0" applyNumberFormat="1" applyBorder="1" applyAlignment="1">
      <alignment horizontal="center"/>
    </xf>
    <xf numFmtId="0" fontId="15" fillId="0" borderId="0" xfId="0" applyFont="1"/>
    <xf numFmtId="0" fontId="3" fillId="0" borderId="0" xfId="0" applyFont="1" applyAlignment="1">
      <alignment horizontal="center"/>
    </xf>
    <xf numFmtId="164" fontId="0" fillId="0" borderId="0" xfId="3" applyNumberFormat="1" applyFont="1" applyFill="1" applyAlignment="1">
      <alignment horizontal="center"/>
    </xf>
    <xf numFmtId="165" fontId="0" fillId="0" borderId="0" xfId="0" applyNumberFormat="1"/>
    <xf numFmtId="44" fontId="0" fillId="0" borderId="0" xfId="0" applyNumberFormat="1"/>
    <xf numFmtId="10" fontId="0" fillId="0" borderId="0" xfId="0" applyNumberFormat="1"/>
    <xf numFmtId="3" fontId="0" fillId="0" borderId="0" xfId="1" applyNumberFormat="1" applyFont="1" applyAlignment="1">
      <alignment horizontal="center"/>
    </xf>
    <xf numFmtId="0" fontId="2" fillId="0" borderId="0" xfId="0" applyFont="1"/>
    <xf numFmtId="0" fontId="0" fillId="0" borderId="0" xfId="0" quotePrefix="1"/>
    <xf numFmtId="9" fontId="0" fillId="0" borderId="0" xfId="0" applyNumberFormat="1" applyAlignment="1">
      <alignment horizontal="center"/>
    </xf>
    <xf numFmtId="0" fontId="0" fillId="0" borderId="0" xfId="0" quotePrefix="1" applyAlignment="1">
      <alignment horizontal="right"/>
    </xf>
    <xf numFmtId="9" fontId="2" fillId="12" borderId="0" xfId="0" applyNumberFormat="1" applyFont="1" applyFill="1" applyAlignment="1">
      <alignment horizontal="center"/>
    </xf>
    <xf numFmtId="3" fontId="0" fillId="11" borderId="0" xfId="0" applyNumberFormat="1" applyFill="1" applyAlignment="1">
      <alignment horizontal="center"/>
    </xf>
    <xf numFmtId="44" fontId="0" fillId="0" borderId="0" xfId="0" applyNumberFormat="1" applyAlignment="1">
      <alignment horizontal="center" wrapText="1"/>
    </xf>
    <xf numFmtId="0" fontId="0" fillId="0" borderId="0" xfId="0" applyAlignment="1">
      <alignment horizontal="center" vertical="center"/>
    </xf>
    <xf numFmtId="44" fontId="0" fillId="12" borderId="3" xfId="2" applyFont="1" applyFill="1" applyBorder="1" applyAlignment="1">
      <alignment horizontal="center"/>
    </xf>
    <xf numFmtId="166" fontId="0" fillId="12" borderId="3" xfId="0" applyNumberFormat="1" applyFill="1" applyBorder="1" applyAlignment="1">
      <alignment horizontal="center"/>
    </xf>
    <xf numFmtId="10" fontId="0" fillId="12" borderId="3" xfId="0" applyNumberFormat="1" applyFill="1" applyBorder="1" applyAlignment="1">
      <alignment horizontal="center"/>
    </xf>
    <xf numFmtId="14" fontId="0" fillId="12" borderId="3" xfId="0" applyNumberFormat="1" applyFill="1" applyBorder="1" applyAlignment="1">
      <alignment horizontal="center"/>
    </xf>
    <xf numFmtId="0" fontId="13" fillId="0" borderId="0" xfId="0" applyFont="1" applyAlignment="1">
      <alignment horizontal="center" wrapText="1"/>
    </xf>
    <xf numFmtId="0" fontId="14" fillId="0" borderId="0" xfId="0" applyFont="1" applyAlignment="1">
      <alignment horizontal="center" wrapText="1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289560</xdr:colOff>
      <xdr:row>5</xdr:row>
      <xdr:rowOff>30480</xdr:rowOff>
    </xdr:from>
    <xdr:to>
      <xdr:col>15</xdr:col>
      <xdr:colOff>83820</xdr:colOff>
      <xdr:row>17</xdr:row>
      <xdr:rowOff>114300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3EF1CC6D-082A-4D98-9DD3-CC0DE344FA87}"/>
            </a:ext>
          </a:extLst>
        </xdr:cNvPr>
        <xdr:cNvSpPr/>
      </xdr:nvSpPr>
      <xdr:spPr>
        <a:xfrm>
          <a:off x="7978140" y="944880"/>
          <a:ext cx="411480" cy="2278380"/>
        </a:xfrm>
        <a:prstGeom prst="downArrow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Tiempo</a:t>
          </a:r>
        </a:p>
      </xdr:txBody>
    </xdr:sp>
    <xdr:clientData/>
  </xdr:twoCellAnchor>
  <xdr:twoCellAnchor>
    <xdr:from>
      <xdr:col>17</xdr:col>
      <xdr:colOff>3810</xdr:colOff>
      <xdr:row>2</xdr:row>
      <xdr:rowOff>11430</xdr:rowOff>
    </xdr:from>
    <xdr:to>
      <xdr:col>25</xdr:col>
      <xdr:colOff>91440</xdr:colOff>
      <xdr:row>4</xdr:row>
      <xdr:rowOff>57150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AD548A5B-51AB-4B3F-BE36-9EA18133F2DE}"/>
            </a:ext>
          </a:extLst>
        </xdr:cNvPr>
        <xdr:cNvSpPr/>
      </xdr:nvSpPr>
      <xdr:spPr>
        <a:xfrm rot="16200000">
          <a:off x="11950065" y="-1906905"/>
          <a:ext cx="411480" cy="4979670"/>
        </a:xfrm>
        <a:prstGeom prst="down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MX" sz="1100" b="1"/>
            <a:t>Calificación</a:t>
          </a:r>
          <a:r>
            <a:rPr lang="es-MX" sz="1100" b="1" baseline="0"/>
            <a:t> Crediticia</a:t>
          </a:r>
          <a:endParaRPr lang="es-MX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8</xdr:col>
      <xdr:colOff>259080</xdr:colOff>
      <xdr:row>20</xdr:row>
      <xdr:rowOff>30480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04DA066-556A-45A6-B6D1-F92601F9FA84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26719" t="46196" r="29375" b="10239"/>
        <a:stretch/>
      </xdr:blipFill>
      <xdr:spPr bwMode="auto">
        <a:xfrm>
          <a:off x="792480" y="365760"/>
          <a:ext cx="5806440" cy="33223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is Noe Torres Ferrer" id="{772FE047-2016-4FBE-AB8A-E7E308090991}" userId="19fe4675b7793a8b" providerId="Windows Liv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5-04-23T00:37:32.96" personId="{772FE047-2016-4FBE-AB8A-E7E308090991}" id="{1BB5AF40-C79B-4DDB-B3DA-AF60EDF4D5B6}">
    <text xml:space="preserve">Calificaciones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11" dT="2025-05-26T03:24:41.46" personId="{772FE047-2016-4FBE-AB8A-E7E308090991}" id="{DDFDB012-9384-40DC-878D-33BE0FF81CC5}">
    <text>Etapas de Riesgo(1,2 y 3)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849F0-ED6F-404E-BD18-B1644B30CBD2}">
  <sheetPr codeName="Sheet3">
    <tabColor theme="7" tint="0.39997558519241921"/>
  </sheetPr>
  <dimension ref="A1:AD121"/>
  <sheetViews>
    <sheetView showGridLines="0" zoomScaleNormal="100" workbookViewId="0">
      <selection activeCell="F5" sqref="F5"/>
    </sheetView>
  </sheetViews>
  <sheetFormatPr baseColWidth="10" defaultColWidth="8.85546875" defaultRowHeight="15" x14ac:dyDescent="0.25"/>
  <cols>
    <col min="10" max="10" width="10" bestFit="1" customWidth="1"/>
    <col min="11" max="11" width="2" customWidth="1"/>
    <col min="12" max="12" width="12" bestFit="1" customWidth="1"/>
    <col min="13" max="13" width="4.7109375" customWidth="1"/>
    <col min="14" max="14" width="3.28515625" style="23" customWidth="1"/>
    <col min="15" max="16" width="9" bestFit="1" customWidth="1"/>
    <col min="17" max="17" width="10.7109375" bestFit="1" customWidth="1"/>
    <col min="18" max="19" width="9" bestFit="1" customWidth="1"/>
    <col min="27" max="27" width="10.7109375" bestFit="1" customWidth="1"/>
  </cols>
  <sheetData>
    <row r="1" spans="1:30" x14ac:dyDescent="0.25">
      <c r="B1" t="s">
        <v>76</v>
      </c>
    </row>
    <row r="2" spans="1:30" x14ac:dyDescent="0.25">
      <c r="B2" s="16" t="s">
        <v>22</v>
      </c>
      <c r="P2" s="22" t="s">
        <v>66</v>
      </c>
    </row>
    <row r="3" spans="1:30" x14ac:dyDescent="0.25">
      <c r="B3" s="16"/>
    </row>
    <row r="4" spans="1:30" x14ac:dyDescent="0.25">
      <c r="C4" s="5" t="s">
        <v>0</v>
      </c>
      <c r="D4" s="5" t="s">
        <v>1</v>
      </c>
      <c r="E4" s="5" t="s">
        <v>2</v>
      </c>
      <c r="F4" s="5" t="s">
        <v>3</v>
      </c>
      <c r="G4" s="5" t="s">
        <v>4</v>
      </c>
      <c r="H4" s="5" t="s">
        <v>5</v>
      </c>
      <c r="I4" s="5" t="s">
        <v>6</v>
      </c>
      <c r="J4" s="7" t="s">
        <v>7</v>
      </c>
      <c r="K4" s="2"/>
      <c r="L4" s="2" t="s">
        <v>8</v>
      </c>
    </row>
    <row r="5" spans="1:30" x14ac:dyDescent="0.25">
      <c r="B5" s="19" t="s">
        <v>0</v>
      </c>
      <c r="C5" s="4">
        <v>0.8988543709361132</v>
      </c>
      <c r="D5" s="3">
        <v>9.3404892145732277E-2</v>
      </c>
      <c r="E5" s="3">
        <v>5.3669109299205285E-3</v>
      </c>
      <c r="F5" s="3">
        <v>5.1604912787697396E-4</v>
      </c>
      <c r="G5" s="3">
        <v>1.0320982557539479E-3</v>
      </c>
      <c r="H5" s="3">
        <v>3.0962947672618437E-4</v>
      </c>
      <c r="I5" s="3">
        <v>5.1604912787697396E-4</v>
      </c>
      <c r="J5" s="6">
        <v>0</v>
      </c>
      <c r="K5" s="1"/>
      <c r="L5" s="18">
        <f>SUM(C5:J5)</f>
        <v>0.99999999999999989</v>
      </c>
      <c r="R5" s="64" t="s">
        <v>59</v>
      </c>
      <c r="S5" s="64"/>
      <c r="T5" s="64"/>
      <c r="U5" s="65" t="s">
        <v>61</v>
      </c>
      <c r="V5" s="65"/>
      <c r="W5" s="65"/>
      <c r="X5" s="65"/>
      <c r="Y5" s="34" t="s">
        <v>60</v>
      </c>
    </row>
    <row r="6" spans="1:30" x14ac:dyDescent="0.25">
      <c r="A6" s="1"/>
      <c r="B6" s="19" t="s">
        <v>1</v>
      </c>
      <c r="C6" s="4">
        <v>4.8887039733721653E-3</v>
      </c>
      <c r="D6" s="3">
        <v>0.9092989390472227</v>
      </c>
      <c r="E6" s="3">
        <v>7.9467443311836902E-2</v>
      </c>
      <c r="F6" s="3">
        <v>4.7846889952153108E-3</v>
      </c>
      <c r="G6" s="3">
        <v>5.2007489078427288E-4</v>
      </c>
      <c r="H6" s="3">
        <v>6.2408986894112747E-4</v>
      </c>
      <c r="I6" s="3">
        <v>2.0802995631370917E-4</v>
      </c>
      <c r="J6" s="6">
        <v>2.0802995631370917E-4</v>
      </c>
      <c r="K6" s="1"/>
      <c r="L6" s="18">
        <f>SUM(C6:J6)</f>
        <v>1</v>
      </c>
      <c r="P6" s="2" t="s">
        <v>26</v>
      </c>
      <c r="Q6" s="2" t="s">
        <v>25</v>
      </c>
      <c r="R6" s="2" t="s">
        <v>0</v>
      </c>
      <c r="S6" s="2" t="s">
        <v>1</v>
      </c>
      <c r="T6" s="2" t="s">
        <v>2</v>
      </c>
      <c r="U6" s="2" t="s">
        <v>3</v>
      </c>
      <c r="V6" s="2" t="s">
        <v>4</v>
      </c>
      <c r="W6" s="2" t="s">
        <v>5</v>
      </c>
      <c r="X6" s="2" t="s">
        <v>6</v>
      </c>
      <c r="Y6" s="26" t="s">
        <v>7</v>
      </c>
      <c r="AA6" s="2" t="s">
        <v>54</v>
      </c>
      <c r="AB6" s="25" t="s">
        <v>53</v>
      </c>
      <c r="AC6" s="2" t="s">
        <v>55</v>
      </c>
      <c r="AD6" s="25" t="s">
        <v>56</v>
      </c>
    </row>
    <row r="7" spans="1:30" x14ac:dyDescent="0.25">
      <c r="B7" s="19" t="s">
        <v>2</v>
      </c>
      <c r="C7" s="4">
        <v>2.0879006159306822E-4</v>
      </c>
      <c r="D7" s="3">
        <v>1.6076834742666253E-2</v>
      </c>
      <c r="E7" s="3">
        <v>0.92869819396596742</v>
      </c>
      <c r="F7" s="3">
        <v>5.0735984967115573E-2</v>
      </c>
      <c r="G7" s="3">
        <v>2.6098757699133529E-3</v>
      </c>
      <c r="H7" s="3">
        <v>1.0439503079653412E-3</v>
      </c>
      <c r="I7" s="3">
        <v>1.0439503079653411E-4</v>
      </c>
      <c r="J7" s="6">
        <v>5.2197515398267062E-4</v>
      </c>
      <c r="K7" s="1"/>
      <c r="L7" s="18">
        <f t="shared" ref="L7:L12" si="0">SUM(C7:J7)</f>
        <v>1.0000000000000002</v>
      </c>
      <c r="Q7" s="1">
        <v>1</v>
      </c>
      <c r="R7" s="47">
        <f>R8</f>
        <v>0</v>
      </c>
      <c r="S7" s="47">
        <f t="shared" ref="S7:Y7" si="1">S8</f>
        <v>2.0802995631370917E-4</v>
      </c>
      <c r="T7" s="47">
        <f t="shared" si="1"/>
        <v>5.2197515398267062E-4</v>
      </c>
      <c r="U7" s="47">
        <f t="shared" si="1"/>
        <v>1.4866730381225444E-3</v>
      </c>
      <c r="V7" s="47">
        <f t="shared" si="1"/>
        <v>6.516456814667549E-3</v>
      </c>
      <c r="W7" s="47">
        <f t="shared" si="1"/>
        <v>3.5113805329978272E-2</v>
      </c>
      <c r="X7" s="47">
        <f t="shared" si="1"/>
        <v>0.30288744843842075</v>
      </c>
      <c r="Y7" s="47">
        <f t="shared" si="1"/>
        <v>1</v>
      </c>
      <c r="AA7" s="1">
        <v>1</v>
      </c>
      <c r="AB7" s="3">
        <f>+V7</f>
        <v>6.516456814667549E-3</v>
      </c>
      <c r="AC7" s="1">
        <v>360</v>
      </c>
      <c r="AD7" s="29">
        <f>+AB8</f>
        <v>6.516456814667549E-3</v>
      </c>
    </row>
    <row r="8" spans="1:30" x14ac:dyDescent="0.25">
      <c r="B8" s="20" t="s">
        <v>3</v>
      </c>
      <c r="C8" s="4">
        <v>0</v>
      </c>
      <c r="D8" s="3">
        <v>8.4952745035573967E-4</v>
      </c>
      <c r="E8" s="3">
        <v>3.3237761495168314E-2</v>
      </c>
      <c r="F8" s="3">
        <v>0.92333014760539456</v>
      </c>
      <c r="G8" s="3">
        <v>3.5892534777529995E-2</v>
      </c>
      <c r="H8" s="3">
        <v>4.247637251778698E-3</v>
      </c>
      <c r="I8" s="3">
        <v>9.5571838165020703E-4</v>
      </c>
      <c r="J8" s="6">
        <v>1.4866730381225444E-3</v>
      </c>
      <c r="K8" s="1"/>
      <c r="L8" s="18">
        <f t="shared" si="0"/>
        <v>1</v>
      </c>
      <c r="P8" s="1" t="s">
        <v>27</v>
      </c>
      <c r="Q8" s="1">
        <v>360</v>
      </c>
      <c r="R8" s="47">
        <f>VLOOKUP(R$6,$B$5:$J$12,9,0)</f>
        <v>0</v>
      </c>
      <c r="S8" s="47">
        <f t="shared" ref="S8:Y8" si="2">VLOOKUP(S$6,$B$5:$J$12,9,0)</f>
        <v>2.0802995631370917E-4</v>
      </c>
      <c r="T8" s="47">
        <f t="shared" si="2"/>
        <v>5.2197515398267062E-4</v>
      </c>
      <c r="U8" s="47">
        <f t="shared" si="2"/>
        <v>1.4866730381225444E-3</v>
      </c>
      <c r="V8" s="47">
        <f t="shared" si="2"/>
        <v>6.516456814667549E-3</v>
      </c>
      <c r="W8" s="47">
        <f t="shared" si="2"/>
        <v>3.5113805329978272E-2</v>
      </c>
      <c r="X8" s="47">
        <f t="shared" si="2"/>
        <v>0.30288744843842075</v>
      </c>
      <c r="Y8" s="47">
        <f t="shared" si="2"/>
        <v>1</v>
      </c>
      <c r="AA8" s="1">
        <v>360</v>
      </c>
      <c r="AB8" s="3">
        <f t="shared" ref="AB8:AB17" si="3">+V8</f>
        <v>6.516456814667549E-3</v>
      </c>
      <c r="AC8" s="1">
        <v>720</v>
      </c>
      <c r="AD8" s="29">
        <f t="shared" ref="AD8:AD16" si="4">+AB9</f>
        <v>1.652021394920903E-2</v>
      </c>
    </row>
    <row r="9" spans="1:30" x14ac:dyDescent="0.25">
      <c r="A9" s="1"/>
      <c r="B9" s="20" t="s">
        <v>4</v>
      </c>
      <c r="C9" s="4">
        <v>1.1044842058758559E-4</v>
      </c>
      <c r="D9" s="3">
        <v>2.2089684117517118E-4</v>
      </c>
      <c r="E9" s="3">
        <v>1.1044842058758558E-3</v>
      </c>
      <c r="F9" s="3">
        <v>4.959134084382593E-2</v>
      </c>
      <c r="G9" s="3">
        <v>0.86481113320079517</v>
      </c>
      <c r="H9" s="3">
        <v>7.1791473381930634E-2</v>
      </c>
      <c r="I9" s="3">
        <v>5.8537662911420357E-3</v>
      </c>
      <c r="J9" s="6">
        <v>6.516456814667549E-3</v>
      </c>
      <c r="K9" s="1"/>
      <c r="L9" s="18">
        <f t="shared" si="0"/>
        <v>0.99999999999999978</v>
      </c>
      <c r="P9" s="1" t="s">
        <v>28</v>
      </c>
      <c r="Q9" s="1">
        <v>720</v>
      </c>
      <c r="R9" s="47">
        <f>VLOOKUP(R$6,$B$18:$J$25,9,0)</f>
        <v>1.9690230261021084E-4</v>
      </c>
      <c r="S9" s="47">
        <f t="shared" ref="S9:Y9" si="5">VLOOKUP(S$6,$B$18:$J$25,9,0)</f>
        <v>5.3409755236331305E-4</v>
      </c>
      <c r="T9" s="47">
        <f t="shared" si="5"/>
        <v>1.1707889760658318E-3</v>
      </c>
      <c r="U9" s="47">
        <f t="shared" si="5"/>
        <v>3.5494070491478343E-3</v>
      </c>
      <c r="V9" s="47">
        <f t="shared" si="5"/>
        <v>1.652021394920903E-2</v>
      </c>
      <c r="W9" s="47">
        <f t="shared" si="5"/>
        <v>8.2165001458399473E-2</v>
      </c>
      <c r="X9" s="47">
        <f t="shared" si="5"/>
        <v>0.46831123372262851</v>
      </c>
      <c r="Y9" s="47">
        <f t="shared" si="5"/>
        <v>1</v>
      </c>
      <c r="AA9" s="1">
        <v>720</v>
      </c>
      <c r="AB9" s="3">
        <f t="shared" si="3"/>
        <v>1.652021394920903E-2</v>
      </c>
      <c r="AC9" s="1">
        <v>1080</v>
      </c>
      <c r="AD9" s="29">
        <f t="shared" si="4"/>
        <v>2.9620905490369012E-2</v>
      </c>
    </row>
    <row r="10" spans="1:30" x14ac:dyDescent="0.25">
      <c r="B10" s="20" t="s">
        <v>5</v>
      </c>
      <c r="C10" s="4">
        <v>0</v>
      </c>
      <c r="D10" s="3">
        <v>2.2875443211712229E-4</v>
      </c>
      <c r="E10" s="3">
        <v>6.8626329635136673E-4</v>
      </c>
      <c r="F10" s="3">
        <v>1.7156582408784172E-3</v>
      </c>
      <c r="G10" s="3">
        <v>5.1469747226352509E-2</v>
      </c>
      <c r="H10" s="3">
        <v>0.85577033055015439</v>
      </c>
      <c r="I10" s="3">
        <v>5.5015440924167908E-2</v>
      </c>
      <c r="J10" s="6">
        <v>3.5113805329978272E-2</v>
      </c>
      <c r="K10" s="1"/>
      <c r="L10" s="18">
        <f t="shared" si="0"/>
        <v>1</v>
      </c>
      <c r="P10" s="1" t="s">
        <v>29</v>
      </c>
      <c r="Q10" s="1">
        <v>1080</v>
      </c>
      <c r="R10" s="47">
        <f>VLOOKUP(R$6,$B$30:$J$37,9,0)</f>
        <v>5.1915180233282272E-4</v>
      </c>
      <c r="S10" s="47">
        <f t="shared" ref="S10:Y10" si="6">VLOOKUP(S$6,$B$30:$J$37,9,0)</f>
        <v>9.6196216547738268E-4</v>
      </c>
      <c r="T10" s="47">
        <f t="shared" si="6"/>
        <v>1.9757763839308396E-3</v>
      </c>
      <c r="U10" s="47">
        <f t="shared" si="6"/>
        <v>6.1928488370967634E-3</v>
      </c>
      <c r="V10" s="47">
        <f t="shared" si="6"/>
        <v>2.9620905490369012E-2</v>
      </c>
      <c r="W10" s="47">
        <f t="shared" si="6"/>
        <v>0.13204983125290765</v>
      </c>
      <c r="X10" s="47">
        <f t="shared" si="6"/>
        <v>0.56320299103537697</v>
      </c>
      <c r="Y10" s="47">
        <f t="shared" si="6"/>
        <v>1</v>
      </c>
      <c r="AA10" s="1">
        <v>1080</v>
      </c>
      <c r="AB10" s="3">
        <f t="shared" si="3"/>
        <v>2.9620905490369012E-2</v>
      </c>
      <c r="AC10" s="1">
        <v>1440</v>
      </c>
      <c r="AD10" s="29">
        <f t="shared" si="4"/>
        <v>4.5219420012887493E-2</v>
      </c>
    </row>
    <row r="11" spans="1:30" x14ac:dyDescent="0.25">
      <c r="B11" s="20" t="s">
        <v>6</v>
      </c>
      <c r="C11" s="4">
        <v>0</v>
      </c>
      <c r="D11" s="3">
        <v>0</v>
      </c>
      <c r="E11" s="3">
        <v>9.4284030642309959E-4</v>
      </c>
      <c r="F11" s="3">
        <v>1.7678255745433118E-3</v>
      </c>
      <c r="G11" s="3">
        <v>5.4213317619328221E-3</v>
      </c>
      <c r="H11" s="3">
        <v>0.16169711255156155</v>
      </c>
      <c r="I11" s="3">
        <v>0.52728344136711847</v>
      </c>
      <c r="J11" s="6">
        <v>0.30288744843842075</v>
      </c>
      <c r="K11" s="1"/>
      <c r="L11" s="18">
        <f t="shared" si="0"/>
        <v>1</v>
      </c>
      <c r="P11" s="1" t="s">
        <v>30</v>
      </c>
      <c r="Q11" s="1">
        <v>1440</v>
      </c>
      <c r="R11" s="47">
        <f>VLOOKUP(R$6,$B$42:$J$49,9,0)</f>
        <v>9.3239208651695439E-4</v>
      </c>
      <c r="S11" s="47">
        <f t="shared" ref="S11:Y11" si="7">VLOOKUP(S$6,$B$42:$J$49,9,0)</f>
        <v>1.4868990104204886E-3</v>
      </c>
      <c r="T11" s="47">
        <f t="shared" si="7"/>
        <v>2.9606050385415647E-3</v>
      </c>
      <c r="U11" s="47">
        <f t="shared" si="7"/>
        <v>9.4335372803684772E-3</v>
      </c>
      <c r="V11" s="47">
        <f t="shared" si="7"/>
        <v>4.5219420012887493E-2</v>
      </c>
      <c r="W11" s="47">
        <f t="shared" si="7"/>
        <v>0.18063977523826241</v>
      </c>
      <c r="X11" s="47">
        <f t="shared" si="7"/>
        <v>0.62138053164024165</v>
      </c>
      <c r="Y11" s="47">
        <f t="shared" si="7"/>
        <v>1</v>
      </c>
      <c r="AA11" s="1">
        <v>1440</v>
      </c>
      <c r="AB11" s="3">
        <f t="shared" si="3"/>
        <v>4.5219420012887493E-2</v>
      </c>
      <c r="AC11" s="1">
        <v>1800</v>
      </c>
      <c r="AD11" s="29">
        <f t="shared" si="4"/>
        <v>6.2700049841185185E-2</v>
      </c>
    </row>
    <row r="12" spans="1:30" x14ac:dyDescent="0.25">
      <c r="A12" s="1"/>
      <c r="B12" s="21" t="s">
        <v>7</v>
      </c>
      <c r="C12" s="4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6">
        <v>1</v>
      </c>
      <c r="K12" s="1"/>
      <c r="L12" s="18">
        <f t="shared" si="0"/>
        <v>1</v>
      </c>
      <c r="P12" s="1" t="s">
        <v>31</v>
      </c>
      <c r="Q12" s="1">
        <v>1800</v>
      </c>
      <c r="R12" s="47">
        <f>VLOOKUP(R$6,$B$54:$J$61,9,0)</f>
        <v>1.4209909813559267E-3</v>
      </c>
      <c r="S12" s="47">
        <f t="shared" ref="S12:Y12" si="8">VLOOKUP(S$6,$B$54:$J$61,9,0)</f>
        <v>2.1105507963677353E-3</v>
      </c>
      <c r="T12" s="47">
        <f t="shared" si="8"/>
        <v>4.1456678731858956E-3</v>
      </c>
      <c r="U12" s="47">
        <f t="shared" si="8"/>
        <v>1.3280806093299291E-2</v>
      </c>
      <c r="V12" s="47">
        <f t="shared" si="8"/>
        <v>6.2700049841185185E-2</v>
      </c>
      <c r="W12" s="47">
        <f t="shared" si="8"/>
        <v>0.22623147815908642</v>
      </c>
      <c r="X12" s="47">
        <f t="shared" si="8"/>
        <v>0.66000466133240354</v>
      </c>
      <c r="Y12" s="47">
        <f t="shared" si="8"/>
        <v>1</v>
      </c>
      <c r="AA12" s="1">
        <v>1800</v>
      </c>
      <c r="AB12" s="3">
        <f t="shared" si="3"/>
        <v>6.2700049841185185E-2</v>
      </c>
      <c r="AC12" s="1">
        <v>2160</v>
      </c>
      <c r="AD12" s="29">
        <f t="shared" si="4"/>
        <v>8.1508977117042289E-2</v>
      </c>
    </row>
    <row r="13" spans="1:30" x14ac:dyDescent="0.25">
      <c r="P13" s="1" t="s">
        <v>39</v>
      </c>
      <c r="Q13" s="1">
        <v>2160</v>
      </c>
      <c r="R13" s="47">
        <f>VLOOKUP(R$6,$B$66:$J$73,9,0)</f>
        <v>1.9788580789312478E-3</v>
      </c>
      <c r="S13" s="47">
        <f t="shared" ref="S13:Y13" si="9">VLOOKUP(S$6,$B$66:$J$73,9,0)</f>
        <v>2.8381867499689527E-3</v>
      </c>
      <c r="T13" s="47">
        <f t="shared" si="9"/>
        <v>5.5488068331518356E-3</v>
      </c>
      <c r="U13" s="47">
        <f t="shared" si="9"/>
        <v>1.7731018939852516E-2</v>
      </c>
      <c r="V13" s="47">
        <f t="shared" si="9"/>
        <v>8.1508977117042289E-2</v>
      </c>
      <c r="W13" s="47">
        <f t="shared" si="9"/>
        <v>0.2682797084886121</v>
      </c>
      <c r="X13" s="47">
        <f t="shared" si="9"/>
        <v>0.68784525899381488</v>
      </c>
      <c r="Y13" s="47">
        <f t="shared" si="9"/>
        <v>1</v>
      </c>
      <c r="AA13" s="1">
        <v>2160</v>
      </c>
      <c r="AB13" s="3">
        <f t="shared" si="3"/>
        <v>8.1508977117042289E-2</v>
      </c>
      <c r="AC13" s="1">
        <v>2520</v>
      </c>
      <c r="AD13" s="29">
        <f t="shared" si="4"/>
        <v>0.10117928770428708</v>
      </c>
    </row>
    <row r="14" spans="1:30" x14ac:dyDescent="0.25">
      <c r="P14" s="1" t="s">
        <v>40</v>
      </c>
      <c r="Q14" s="1">
        <v>2520</v>
      </c>
      <c r="R14" s="47">
        <f>VLOOKUP(R$6,$B$78:$J$85,9,0)</f>
        <v>2.6048903147654697E-3</v>
      </c>
      <c r="S14" s="47">
        <f t="shared" ref="S14:Y14" si="10">VLOOKUP(S$6,$B$78:$J$85,9,0)</f>
        <v>3.677164951550248E-3</v>
      </c>
      <c r="T14" s="47">
        <f t="shared" si="10"/>
        <v>7.1853915899306965E-3</v>
      </c>
      <c r="U14" s="47">
        <f t="shared" si="10"/>
        <v>2.2767603445985243E-2</v>
      </c>
      <c r="V14" s="47">
        <f t="shared" si="10"/>
        <v>0.10117928770428708</v>
      </c>
      <c r="W14" s="47">
        <f t="shared" si="10"/>
        <v>0.30677185436224252</v>
      </c>
      <c r="X14" s="47">
        <f t="shared" si="10"/>
        <v>0.70943538214152624</v>
      </c>
      <c r="Y14" s="47">
        <f t="shared" si="10"/>
        <v>1</v>
      </c>
      <c r="AA14" s="1">
        <v>2520</v>
      </c>
      <c r="AB14" s="3">
        <f t="shared" si="3"/>
        <v>0.10117928770428708</v>
      </c>
      <c r="AC14" s="1">
        <v>2880</v>
      </c>
      <c r="AD14" s="29">
        <f t="shared" si="4"/>
        <v>0.12133201572751169</v>
      </c>
    </row>
    <row r="15" spans="1:30" x14ac:dyDescent="0.25">
      <c r="B15" s="16" t="s">
        <v>23</v>
      </c>
      <c r="P15" s="1" t="s">
        <v>41</v>
      </c>
      <c r="Q15" s="1">
        <v>2880</v>
      </c>
      <c r="R15" s="47">
        <f>VLOOKUP(R$6,$B$90:$J$97,9,0)</f>
        <v>3.300710884837342E-3</v>
      </c>
      <c r="S15" s="47">
        <f t="shared" ref="S15:Y15" si="11">VLOOKUP(S$6,$B$90:$J$97,9,0)</f>
        <v>4.636005108534071E-3</v>
      </c>
      <c r="T15" s="47">
        <f t="shared" si="11"/>
        <v>9.0682146529190641E-3</v>
      </c>
      <c r="U15" s="47">
        <f t="shared" si="11"/>
        <v>2.8363294967390346E-2</v>
      </c>
      <c r="V15" s="47">
        <f t="shared" si="11"/>
        <v>0.12133201572751169</v>
      </c>
      <c r="W15" s="47">
        <f t="shared" si="11"/>
        <v>0.34192246292421757</v>
      </c>
      <c r="X15" s="47">
        <f t="shared" si="11"/>
        <v>0.72716065153859655</v>
      </c>
      <c r="Y15" s="47">
        <f t="shared" si="11"/>
        <v>1</v>
      </c>
      <c r="AA15" s="1">
        <v>2880</v>
      </c>
      <c r="AB15" s="3">
        <f t="shared" si="3"/>
        <v>0.12133201572751169</v>
      </c>
      <c r="AC15" s="1">
        <v>3240</v>
      </c>
      <c r="AD15" s="29">
        <f t="shared" si="4"/>
        <v>0.14166745890067295</v>
      </c>
    </row>
    <row r="16" spans="1:30" x14ac:dyDescent="0.25">
      <c r="P16" s="1" t="s">
        <v>42</v>
      </c>
      <c r="Q16" s="1">
        <v>3240</v>
      </c>
      <c r="R16" s="47">
        <f>VLOOKUP(R$6,$B$102:$J$109,9,0)</f>
        <v>4.0695355722779689E-3</v>
      </c>
      <c r="S16" s="47">
        <f t="shared" ref="S16:Y16" si="12">VLOOKUP(S$6,$B$102:$J$109,9,0)</f>
        <v>5.7237813389829813E-3</v>
      </c>
      <c r="T16" s="47">
        <f t="shared" si="12"/>
        <v>1.1207394382396096E-2</v>
      </c>
      <c r="U16" s="47">
        <f t="shared" si="12"/>
        <v>3.4482940922311356E-2</v>
      </c>
      <c r="V16" s="47">
        <f t="shared" si="12"/>
        <v>0.14166745890067295</v>
      </c>
      <c r="W16" s="47">
        <f t="shared" si="12"/>
        <v>0.37402684190656371</v>
      </c>
      <c r="X16" s="47">
        <f t="shared" si="12"/>
        <v>0.74231156652691888</v>
      </c>
      <c r="Y16" s="47">
        <f t="shared" si="12"/>
        <v>1</v>
      </c>
      <c r="AA16" s="1">
        <v>3240</v>
      </c>
      <c r="AB16" s="3">
        <f t="shared" si="3"/>
        <v>0.14166745890067295</v>
      </c>
      <c r="AC16" s="1">
        <v>3600</v>
      </c>
      <c r="AD16" s="29">
        <f t="shared" si="4"/>
        <v>0.16195345648041243</v>
      </c>
    </row>
    <row r="17" spans="2:30" x14ac:dyDescent="0.25">
      <c r="C17" s="5" t="s">
        <v>0</v>
      </c>
      <c r="D17" s="5" t="s">
        <v>1</v>
      </c>
      <c r="E17" s="5" t="s">
        <v>2</v>
      </c>
      <c r="F17" s="5" t="s">
        <v>3</v>
      </c>
      <c r="G17" s="5" t="s">
        <v>4</v>
      </c>
      <c r="H17" s="5" t="s">
        <v>5</v>
      </c>
      <c r="I17" s="5" t="s">
        <v>6</v>
      </c>
      <c r="J17" s="7" t="s">
        <v>7</v>
      </c>
      <c r="L17" s="2" t="s">
        <v>8</v>
      </c>
      <c r="P17" s="1" t="s">
        <v>43</v>
      </c>
      <c r="Q17" s="1">
        <v>3600</v>
      </c>
      <c r="R17" s="47">
        <f>VLOOKUP(R$6,$B$114:$J$121,9,0)</f>
        <v>4.9155867035406749E-3</v>
      </c>
      <c r="S17" s="47">
        <f t="shared" ref="S17:Y17" si="13">VLOOKUP(S$6,$B$114:$J$121,9,0)</f>
        <v>6.9496932293384448E-3</v>
      </c>
      <c r="T17" s="47">
        <f t="shared" si="13"/>
        <v>1.3610351557521279E-2</v>
      </c>
      <c r="U17" s="47">
        <f t="shared" si="13"/>
        <v>4.1086158531945562E-2</v>
      </c>
      <c r="V17" s="47">
        <f t="shared" si="13"/>
        <v>0.16195345648041243</v>
      </c>
      <c r="W17" s="47">
        <f t="shared" si="13"/>
        <v>0.40339322740391942</v>
      </c>
      <c r="X17" s="47">
        <f t="shared" si="13"/>
        <v>0.75561465905899405</v>
      </c>
      <c r="Y17" s="47">
        <f t="shared" si="13"/>
        <v>1</v>
      </c>
      <c r="AA17" s="1">
        <v>3600</v>
      </c>
      <c r="AB17" s="3">
        <f t="shared" si="3"/>
        <v>0.16195345648041243</v>
      </c>
      <c r="AC17" s="1">
        <v>3960</v>
      </c>
      <c r="AD17" s="29">
        <f>+AB17</f>
        <v>0.16195345648041243</v>
      </c>
    </row>
    <row r="18" spans="2:30" x14ac:dyDescent="0.25">
      <c r="B18" s="19" t="s">
        <v>0</v>
      </c>
      <c r="C18" s="4" cm="1">
        <f t="array" ref="C18:J25">MMULT(C5:J12,C5:J12)</f>
        <v>0.80839704356960684</v>
      </c>
      <c r="D18" s="3">
        <v>0.16897738505630072</v>
      </c>
      <c r="E18" s="3">
        <v>1.7249951100534247E-2</v>
      </c>
      <c r="F18" s="3">
        <v>1.7121722430282814E-3</v>
      </c>
      <c r="G18" s="3">
        <v>1.9201171361276413E-3</v>
      </c>
      <c r="H18" s="3">
        <v>7.6691086125510682E-4</v>
      </c>
      <c r="I18" s="3">
        <v>7.7951773053706907E-4</v>
      </c>
      <c r="J18" s="6">
        <v>1.9690230261021084E-4</v>
      </c>
      <c r="L18" s="18">
        <f>SUM(C18:J18)</f>
        <v>1.0000000000000002</v>
      </c>
      <c r="P18" s="1"/>
      <c r="Q18" s="1"/>
      <c r="R18" s="47"/>
      <c r="S18" s="47"/>
      <c r="T18" s="47"/>
      <c r="U18" s="47"/>
      <c r="V18" s="47"/>
      <c r="W18" s="47"/>
      <c r="X18" s="47"/>
      <c r="Y18" s="47"/>
      <c r="AA18" s="1"/>
      <c r="AB18" s="3"/>
      <c r="AC18" s="1"/>
      <c r="AD18" s="29"/>
    </row>
    <row r="19" spans="2:30" x14ac:dyDescent="0.25">
      <c r="B19" s="19" t="s">
        <v>1</v>
      </c>
      <c r="C19" s="4">
        <v>8.8561757248155643E-3</v>
      </c>
      <c r="D19" s="3">
        <v>0.8285630967441836</v>
      </c>
      <c r="E19" s="3">
        <v>0.14624740140898498</v>
      </c>
      <c r="F19" s="3">
        <v>1.2830171740661575E-2</v>
      </c>
      <c r="G19" s="3">
        <v>1.3401000430749621E-3</v>
      </c>
      <c r="H19" s="3">
        <v>1.2773340070595495E-3</v>
      </c>
      <c r="I19" s="3">
        <v>3.5162277885625955E-4</v>
      </c>
      <c r="J19" s="6">
        <v>5.3409755236331305E-4</v>
      </c>
      <c r="L19" s="18">
        <f t="shared" ref="L19:L25" si="14">SUM(C19:J19)</f>
        <v>0.99999999999999978</v>
      </c>
      <c r="P19" s="1"/>
      <c r="Q19" s="1"/>
      <c r="R19" s="47"/>
      <c r="S19" s="47"/>
      <c r="T19" s="47"/>
      <c r="U19" s="47"/>
      <c r="V19" s="47"/>
      <c r="W19" s="47"/>
      <c r="X19" s="47"/>
      <c r="Y19" s="47"/>
      <c r="AA19" s="1"/>
      <c r="AB19" s="3"/>
      <c r="AC19" s="1"/>
      <c r="AD19" s="29"/>
    </row>
    <row r="20" spans="2:30" x14ac:dyDescent="0.25">
      <c r="B20" s="19" t="s">
        <v>2</v>
      </c>
      <c r="C20" s="4">
        <v>4.6045795513291216E-4</v>
      </c>
      <c r="D20" s="3">
        <v>2.9612595111655312E-2</v>
      </c>
      <c r="E20" s="3">
        <v>0.86544908897360895</v>
      </c>
      <c r="F20" s="3">
        <v>9.4172915349856973E-2</v>
      </c>
      <c r="G20" s="3">
        <v>6.5647541094860018E-3</v>
      </c>
      <c r="H20" s="3">
        <v>2.2927497646305344E-3</v>
      </c>
      <c r="I20" s="3">
        <v>2.7664975956398187E-4</v>
      </c>
      <c r="J20" s="6">
        <v>1.1707889760658318E-3</v>
      </c>
      <c r="L20" s="18">
        <f t="shared" si="14"/>
        <v>1.0000000000000004</v>
      </c>
      <c r="P20" s="1"/>
      <c r="Q20" s="1"/>
      <c r="R20" s="47"/>
      <c r="S20" s="47"/>
      <c r="T20" s="47"/>
      <c r="U20" s="47"/>
      <c r="V20" s="47"/>
      <c r="W20" s="47"/>
      <c r="X20" s="47"/>
      <c r="Y20" s="47"/>
      <c r="AA20" s="1"/>
      <c r="AB20" s="3"/>
      <c r="AC20" s="1"/>
      <c r="AD20" s="29"/>
    </row>
    <row r="21" spans="2:30" x14ac:dyDescent="0.25">
      <c r="B21" s="20" t="s">
        <v>3</v>
      </c>
      <c r="C21" s="4">
        <v>1.5057076268897908E-5</v>
      </c>
      <c r="D21" s="3">
        <v>2.1001269276072388E-3</v>
      </c>
      <c r="E21" s="3">
        <v>6.1668244899068581E-2</v>
      </c>
      <c r="F21" s="3">
        <v>0.85601791273235572</v>
      </c>
      <c r="G21" s="3">
        <v>6.4491917436817758E-2</v>
      </c>
      <c r="H21" s="3">
        <v>1.0323517076311272E-2</v>
      </c>
      <c r="I21" s="3">
        <v>1.8338168024227637E-3</v>
      </c>
      <c r="J21" s="6">
        <v>3.5494070491478343E-3</v>
      </c>
      <c r="L21" s="18">
        <f t="shared" si="14"/>
        <v>1.0000000000000002</v>
      </c>
      <c r="P21" s="1"/>
      <c r="Q21" s="1"/>
      <c r="R21" s="47"/>
      <c r="S21" s="47"/>
      <c r="T21" s="47"/>
      <c r="U21" s="47"/>
      <c r="V21" s="47"/>
      <c r="W21" s="47"/>
      <c r="X21" s="47"/>
      <c r="Y21" s="47"/>
      <c r="AA21" s="1"/>
      <c r="AB21" s="3"/>
      <c r="AC21" s="1"/>
      <c r="AD21" s="29"/>
    </row>
    <row r="22" spans="2:30" x14ac:dyDescent="0.25">
      <c r="B22" s="20" t="s">
        <v>4</v>
      </c>
      <c r="C22" s="4">
        <v>1.9610457396726126E-4</v>
      </c>
      <c r="D22" s="3">
        <v>4.7852016679415587E-4</v>
      </c>
      <c r="E22" s="3">
        <v>3.7021417781555781E-3</v>
      </c>
      <c r="F22" s="3">
        <v>8.88669928176265E-2</v>
      </c>
      <c r="G22" s="3">
        <v>0.75340819067413134</v>
      </c>
      <c r="H22" s="3">
        <v>0.12468158657407696</v>
      </c>
      <c r="I22" s="3">
        <v>1.2146249466039094E-2</v>
      </c>
      <c r="J22" s="6">
        <v>1.652021394920903E-2</v>
      </c>
      <c r="L22" s="18">
        <f t="shared" si="14"/>
        <v>0.99999999999999989</v>
      </c>
      <c r="P22" s="1"/>
      <c r="Q22" s="1"/>
    </row>
    <row r="23" spans="2:30" x14ac:dyDescent="0.25">
      <c r="B23" s="20" t="s">
        <v>5</v>
      </c>
      <c r="C23" s="4">
        <v>6.9463499463246317E-6</v>
      </c>
      <c r="D23" s="3">
        <v>4.2762736336897117E-4</v>
      </c>
      <c r="E23" s="3">
        <v>1.4085367192247025E-3</v>
      </c>
      <c r="F23" s="3">
        <v>5.7379526411075552E-3</v>
      </c>
      <c r="G23" s="3">
        <v>8.8919639333350217E-2</v>
      </c>
      <c r="H23" s="3">
        <v>0.74494193226304328</v>
      </c>
      <c r="I23" s="3">
        <v>7.6392363871559454E-2</v>
      </c>
      <c r="J23" s="6">
        <v>8.2165001458399473E-2</v>
      </c>
      <c r="L23" s="18">
        <f t="shared" si="14"/>
        <v>1</v>
      </c>
      <c r="P23" s="1"/>
      <c r="Q23" s="1"/>
    </row>
    <row r="24" spans="2:30" x14ac:dyDescent="0.25">
      <c r="B24" s="20" t="s">
        <v>6</v>
      </c>
      <c r="C24" s="4">
        <v>7.9563321623729909E-7</v>
      </c>
      <c r="D24" s="3">
        <v>5.4846190365988892E-5</v>
      </c>
      <c r="E24" s="3">
        <v>1.5484713047915822E-3</v>
      </c>
      <c r="F24" s="3">
        <v>3.1585358278875429E-3</v>
      </c>
      <c r="G24" s="3">
        <v>1.5935428479964868E-2</v>
      </c>
      <c r="H24" s="3">
        <v>0.22403350017764376</v>
      </c>
      <c r="I24" s="3">
        <v>0.28695718866350151</v>
      </c>
      <c r="J24" s="6">
        <v>0.46831123372262851</v>
      </c>
      <c r="L24" s="18">
        <f t="shared" si="14"/>
        <v>1</v>
      </c>
      <c r="P24" s="1"/>
      <c r="Q24" s="1"/>
    </row>
    <row r="25" spans="2:30" x14ac:dyDescent="0.25">
      <c r="B25" s="21" t="s">
        <v>7</v>
      </c>
      <c r="C25" s="4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6">
        <v>1</v>
      </c>
      <c r="L25" s="18">
        <f t="shared" si="14"/>
        <v>1</v>
      </c>
      <c r="P25" s="1"/>
      <c r="Q25" s="1"/>
    </row>
    <row r="26" spans="2:30" x14ac:dyDescent="0.25">
      <c r="P26" s="1"/>
      <c r="Q26" s="1"/>
    </row>
    <row r="27" spans="2:30" x14ac:dyDescent="0.25">
      <c r="B27" s="16" t="s">
        <v>24</v>
      </c>
      <c r="P27" s="1"/>
      <c r="Q27" s="1"/>
    </row>
    <row r="29" spans="2:30" x14ac:dyDescent="0.25">
      <c r="C29" s="5" t="s">
        <v>0</v>
      </c>
      <c r="D29" s="5" t="s">
        <v>1</v>
      </c>
      <c r="E29" s="5" t="s">
        <v>2</v>
      </c>
      <c r="F29" s="5" t="s">
        <v>3</v>
      </c>
      <c r="G29" s="5" t="s">
        <v>4</v>
      </c>
      <c r="H29" s="5" t="s">
        <v>5</v>
      </c>
      <c r="I29" s="5" t="s">
        <v>6</v>
      </c>
      <c r="J29" s="7" t="s">
        <v>7</v>
      </c>
      <c r="L29" s="2" t="s">
        <v>8</v>
      </c>
    </row>
    <row r="30" spans="2:30" x14ac:dyDescent="0.25">
      <c r="B30" s="19" t="s">
        <v>0</v>
      </c>
      <c r="C30" s="4" cm="1">
        <f t="array" ref="C30:J37">MMULT(_xlfn.ANCHORARRAY(C18),$C$5:$J$12)</f>
        <v>0.72746111017036519</v>
      </c>
      <c r="D30" s="3">
        <v>0.22943857435276743</v>
      </c>
      <c r="E30" s="3">
        <v>3.3847084905074876E-2</v>
      </c>
      <c r="F30" s="3">
        <v>3.7796853253096703E-3</v>
      </c>
      <c r="G30" s="3">
        <v>2.7329379136688016E-3</v>
      </c>
      <c r="H30" s="3">
        <v>1.3012347717638643E-3</v>
      </c>
      <c r="I30" s="3">
        <v>9.2022075871754227E-4</v>
      </c>
      <c r="J30" s="6">
        <v>5.1915180233282272E-4</v>
      </c>
      <c r="L30" s="18">
        <f>SUM(C30:J30)</f>
        <v>1.0000000000000002</v>
      </c>
      <c r="M30" s="17"/>
      <c r="N30" s="24"/>
      <c r="O30" s="17"/>
      <c r="P30" s="17"/>
      <c r="Q30" s="17"/>
      <c r="R30" s="17"/>
      <c r="S30" s="17"/>
    </row>
    <row r="31" spans="2:30" x14ac:dyDescent="0.25">
      <c r="B31" s="19" t="s">
        <v>1</v>
      </c>
      <c r="C31" s="4">
        <v>1.2041694979152803E-2</v>
      </c>
      <c r="D31" s="3">
        <v>0.75660143804833246</v>
      </c>
      <c r="E31" s="3">
        <v>0.2021401532069983</v>
      </c>
      <c r="F31" s="3">
        <v>2.3304747713423699E-2</v>
      </c>
      <c r="G31" s="3">
        <v>2.508833999379127E-3</v>
      </c>
      <c r="H31" s="3">
        <v>1.9731815927486532E-3</v>
      </c>
      <c r="I31" s="3">
        <v>4.6798829448736707E-4</v>
      </c>
      <c r="J31" s="6">
        <v>9.6196216547738268E-4</v>
      </c>
      <c r="L31" s="18">
        <f t="shared" ref="L31:L37" si="15">SUM(C31:J31)</f>
        <v>0.99999999999999978</v>
      </c>
      <c r="M31" s="17"/>
      <c r="N31" s="24"/>
      <c r="O31" s="17"/>
      <c r="P31" s="17"/>
      <c r="Q31" s="17"/>
      <c r="R31" s="17"/>
      <c r="S31" s="17"/>
    </row>
    <row r="32" spans="2:30" x14ac:dyDescent="0.25">
      <c r="B32" s="19" t="s">
        <v>2</v>
      </c>
      <c r="C32" s="4">
        <v>7.4007409230313645E-4</v>
      </c>
      <c r="D32" s="3">
        <v>4.0965369411505761E-2</v>
      </c>
      <c r="E32" s="3">
        <v>0.80923589619295433</v>
      </c>
      <c r="F32" s="3">
        <v>0.13133400607740686</v>
      </c>
      <c r="G32" s="3">
        <v>1.1451474753299246E-2</v>
      </c>
      <c r="H32" s="3">
        <v>3.8002157794352442E-3</v>
      </c>
      <c r="I32" s="3">
        <v>4.971873091652217E-4</v>
      </c>
      <c r="J32" s="6">
        <v>1.9757763839308396E-3</v>
      </c>
      <c r="L32" s="18">
        <f t="shared" si="15"/>
        <v>1.0000000000000007</v>
      </c>
      <c r="M32" s="17"/>
      <c r="N32" s="24"/>
      <c r="O32" s="17"/>
      <c r="P32" s="17"/>
      <c r="Q32" s="17"/>
      <c r="R32" s="17"/>
      <c r="S32" s="17"/>
    </row>
    <row r="33" spans="2:19" x14ac:dyDescent="0.25">
      <c r="B33" s="20" t="s">
        <v>3</v>
      </c>
      <c r="C33" s="4">
        <v>4.3799764745771123E-5</v>
      </c>
      <c r="D33" s="3">
        <v>3.6462980998270148E-3</v>
      </c>
      <c r="E33" s="3">
        <v>8.5970323360830575E-2</v>
      </c>
      <c r="F33" s="3">
        <v>0.79674519524123566</v>
      </c>
      <c r="G33" s="3">
        <v>8.7201325669242241E-2</v>
      </c>
      <c r="H33" s="3">
        <v>1.7462799764369853E-2</v>
      </c>
      <c r="I33" s="3">
        <v>2.7374092626521623E-3</v>
      </c>
      <c r="J33" s="6">
        <v>6.1928488370967634E-3</v>
      </c>
      <c r="L33" s="18">
        <f t="shared" si="15"/>
        <v>1</v>
      </c>
      <c r="M33" s="17"/>
      <c r="N33" s="24"/>
      <c r="O33" s="17"/>
      <c r="P33" s="17"/>
      <c r="Q33" s="17"/>
      <c r="R33" s="17"/>
      <c r="S33" s="17"/>
    </row>
    <row r="34" spans="2:19" x14ac:dyDescent="0.25">
      <c r="B34" s="20" t="s">
        <v>4</v>
      </c>
      <c r="C34" s="4">
        <v>2.6259451203937813E-4</v>
      </c>
      <c r="D34" s="3">
        <v>7.8339563291742213E-4</v>
      </c>
      <c r="E34" s="3">
        <v>7.3601353625960429E-3</v>
      </c>
      <c r="F34" s="3">
        <v>0.11984170199510318</v>
      </c>
      <c r="G34" s="3">
        <v>0.6612387447583401</v>
      </c>
      <c r="H34" s="3">
        <v>0.16313279905005537</v>
      </c>
      <c r="I34" s="3">
        <v>1.7759723198579304E-2</v>
      </c>
      <c r="J34" s="6">
        <v>2.9620905490369012E-2</v>
      </c>
      <c r="L34" s="18">
        <f t="shared" si="15"/>
        <v>0.99999999999999978</v>
      </c>
      <c r="M34" s="17"/>
      <c r="N34" s="24"/>
      <c r="O34" s="17"/>
      <c r="P34" s="17"/>
      <c r="Q34" s="17"/>
      <c r="R34" s="17"/>
      <c r="S34" s="17"/>
    </row>
    <row r="35" spans="2:19" x14ac:dyDescent="0.25">
      <c r="B35" s="20" t="s">
        <v>5</v>
      </c>
      <c r="C35" s="4">
        <v>1.8449422793679592E-5</v>
      </c>
      <c r="D35" s="3">
        <v>6.0706012735016143E-4</v>
      </c>
      <c r="E35" s="3">
        <v>2.2143043853550997E-3</v>
      </c>
      <c r="F35" s="3">
        <v>1.1194296086981399E-2</v>
      </c>
      <c r="G35" s="3">
        <v>0.11586467069434334</v>
      </c>
      <c r="H35" s="3">
        <v>0.65626141240519476</v>
      </c>
      <c r="I35" s="3">
        <v>8.1789975625073896E-2</v>
      </c>
      <c r="J35" s="6">
        <v>0.13204983125290765</v>
      </c>
      <c r="L35" s="18">
        <f t="shared" si="15"/>
        <v>1</v>
      </c>
      <c r="M35" s="17"/>
      <c r="N35" s="24"/>
      <c r="O35" s="17"/>
      <c r="P35" s="17"/>
      <c r="Q35" s="17"/>
      <c r="R35" s="17"/>
      <c r="S35" s="17"/>
    </row>
    <row r="36" spans="2:19" x14ac:dyDescent="0.25">
      <c r="B36" s="20" t="s">
        <v>6</v>
      </c>
      <c r="C36" s="4">
        <v>3.0666335089444727E-6</v>
      </c>
      <c r="D36" s="3">
        <v>1.3229242082728873E-4</v>
      </c>
      <c r="E36" s="3">
        <v>1.9893091223905581E-3</v>
      </c>
      <c r="F36" s="3">
        <v>4.6771118445448961E-3</v>
      </c>
      <c r="G36" s="3">
        <v>2.6985212227478787E-2</v>
      </c>
      <c r="H36" s="3">
        <v>0.2392804665405236</v>
      </c>
      <c r="I36" s="3">
        <v>0.16372955017534896</v>
      </c>
      <c r="J36" s="6">
        <v>0.56320299103537697</v>
      </c>
      <c r="L36" s="18">
        <f t="shared" si="15"/>
        <v>1</v>
      </c>
      <c r="M36" s="17"/>
      <c r="N36" s="24"/>
      <c r="O36" s="17"/>
      <c r="P36" s="17"/>
      <c r="Q36" s="17"/>
      <c r="R36" s="17"/>
      <c r="S36" s="17"/>
    </row>
    <row r="37" spans="2:19" x14ac:dyDescent="0.25">
      <c r="B37" s="21" t="s">
        <v>7</v>
      </c>
      <c r="C37" s="4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J37" s="6">
        <v>1</v>
      </c>
      <c r="L37" s="18">
        <f t="shared" si="15"/>
        <v>1</v>
      </c>
      <c r="M37" s="17"/>
      <c r="N37" s="24"/>
      <c r="O37" s="17"/>
      <c r="P37" s="17"/>
      <c r="Q37" s="17"/>
      <c r="R37" s="17"/>
      <c r="S37" s="17"/>
    </row>
    <row r="39" spans="2:19" x14ac:dyDescent="0.25">
      <c r="B39" s="16" t="s">
        <v>32</v>
      </c>
    </row>
    <row r="41" spans="2:19" x14ac:dyDescent="0.25">
      <c r="C41" s="5" t="s">
        <v>0</v>
      </c>
      <c r="D41" s="5" t="s">
        <v>1</v>
      </c>
      <c r="E41" s="5" t="s">
        <v>2</v>
      </c>
      <c r="F41" s="5" t="s">
        <v>3</v>
      </c>
      <c r="G41" s="5" t="s">
        <v>4</v>
      </c>
      <c r="H41" s="5" t="s">
        <v>5</v>
      </c>
      <c r="I41" s="5" t="s">
        <v>6</v>
      </c>
      <c r="J41" s="7" t="s">
        <v>7</v>
      </c>
      <c r="L41" s="2" t="s">
        <v>8</v>
      </c>
    </row>
    <row r="42" spans="2:19" x14ac:dyDescent="0.25">
      <c r="B42" s="19" t="s">
        <v>0</v>
      </c>
      <c r="C42" s="4" cm="1">
        <f t="array" ref="C42:J49">MMULT(_xlfn.ANCHORARRAY(C30),$C$5:$J$12)</f>
        <v>0.65501062461637161</v>
      </c>
      <c r="D42" s="3">
        <v>0.27712494506870733</v>
      </c>
      <c r="E42" s="3">
        <v>5.3701249883565116E-2</v>
      </c>
      <c r="F42" s="3">
        <v>6.8197498130288386E-3</v>
      </c>
      <c r="G42" s="3">
        <v>3.5295739390960165E-3</v>
      </c>
      <c r="H42" s="3">
        <v>1.8783798894106991E-3</v>
      </c>
      <c r="I42" s="3">
        <v>1.0030847033037213E-3</v>
      </c>
      <c r="J42" s="6">
        <v>9.3239208651695439E-4</v>
      </c>
      <c r="L42" s="18">
        <f>SUM(C42:J42)</f>
        <v>1.0000000000000002</v>
      </c>
    </row>
    <row r="43" spans="2:19" x14ac:dyDescent="0.25">
      <c r="B43" s="19" t="s">
        <v>1</v>
      </c>
      <c r="C43" s="4">
        <v>1.4565012573728192E-2</v>
      </c>
      <c r="D43" s="3">
        <v>0.69237221554814377</v>
      </c>
      <c r="E43" s="3">
        <v>0.24869616777756426</v>
      </c>
      <c r="F43" s="3">
        <v>3.5528701670008503E-2</v>
      </c>
      <c r="G43" s="3">
        <v>4.0437086300429831E-3</v>
      </c>
      <c r="H43" s="3">
        <v>2.7303056548256353E-3</v>
      </c>
      <c r="I43" s="3">
        <v>5.7698913526591997E-4</v>
      </c>
      <c r="J43" s="6">
        <v>1.4868990104204886E-3</v>
      </c>
      <c r="L43" s="18">
        <f t="shared" ref="L43:L49" si="16">SUM(C43:J43)</f>
        <v>1</v>
      </c>
    </row>
    <row r="44" spans="2:19" x14ac:dyDescent="0.25">
      <c r="B44" s="19" t="s">
        <v>2</v>
      </c>
      <c r="C44" s="4">
        <v>1.0357116068052867E-3</v>
      </c>
      <c r="D44" s="3">
        <v>5.0443816009389006E-2</v>
      </c>
      <c r="E44" s="3">
        <v>0.75917627343006733</v>
      </c>
      <c r="F44" s="3">
        <v>0.16309370874756887</v>
      </c>
      <c r="G44" s="3">
        <v>1.6949638848571143E-2</v>
      </c>
      <c r="H44" s="3">
        <v>5.5830804114218981E-3</v>
      </c>
      <c r="I44" s="3">
        <v>7.5716590763564304E-4</v>
      </c>
      <c r="J44" s="6">
        <v>2.9606050385415647E-3</v>
      </c>
      <c r="L44" s="18">
        <f t="shared" si="16"/>
        <v>1.0000000000000009</v>
      </c>
    </row>
    <row r="45" spans="2:19" x14ac:dyDescent="0.25">
      <c r="B45" s="20" t="s">
        <v>3</v>
      </c>
      <c r="C45" s="4">
        <v>8.4776279799428841E-5</v>
      </c>
      <c r="D45" s="3">
        <v>5.4019108918967182E-3</v>
      </c>
      <c r="E45" s="3">
        <v>0.10672338537395623</v>
      </c>
      <c r="F45" s="3">
        <v>0.74439734688657799</v>
      </c>
      <c r="G45" s="3">
        <v>0.10514984160879039</v>
      </c>
      <c r="H45" s="3">
        <v>2.5123411247413435E-2</v>
      </c>
      <c r="I45" s="3">
        <v>3.6857904311974163E-3</v>
      </c>
      <c r="J45" s="6">
        <v>9.4335372803684772E-3</v>
      </c>
      <c r="L45" s="18">
        <f t="shared" si="16"/>
        <v>1.0000000000000002</v>
      </c>
    </row>
    <row r="46" spans="2:19" x14ac:dyDescent="0.25">
      <c r="B46" s="20" t="s">
        <v>4</v>
      </c>
      <c r="C46" s="4">
        <v>3.1443351237936271E-4</v>
      </c>
      <c r="D46" s="3">
        <v>1.1403878261775663E-3</v>
      </c>
      <c r="E46" s="3">
        <v>1.1741302481263096E-2</v>
      </c>
      <c r="F46" s="3">
        <v>0.14413375612003507</v>
      </c>
      <c r="G46" s="3">
        <v>0.58466062339696456</v>
      </c>
      <c r="H46" s="3">
        <v>0.19046450698055131</v>
      </c>
      <c r="I46" s="3">
        <v>2.232556966974129E-2</v>
      </c>
      <c r="J46" s="6">
        <v>4.5219420012887493E-2</v>
      </c>
      <c r="L46" s="18">
        <f t="shared" si="16"/>
        <v>0.99999999999999978</v>
      </c>
    </row>
    <row r="47" spans="2:19" x14ac:dyDescent="0.25">
      <c r="B47" s="20" t="s">
        <v>5</v>
      </c>
      <c r="C47" s="4">
        <v>3.2810476205094833E-5</v>
      </c>
      <c r="D47" s="3">
        <v>7.7454811004549671E-4</v>
      </c>
      <c r="E47" s="3">
        <v>3.1322880643084887E-3</v>
      </c>
      <c r="F47" s="3">
        <v>1.7467685174233923E-2</v>
      </c>
      <c r="G47" s="3">
        <v>0.13482998224400142</v>
      </c>
      <c r="H47" s="3">
        <v>0.58320258964297278</v>
      </c>
      <c r="I47" s="3">
        <v>7.9920321049970294E-2</v>
      </c>
      <c r="J47" s="6">
        <v>0.18063977523826241</v>
      </c>
      <c r="L47" s="18">
        <f t="shared" si="16"/>
        <v>0.99999999999999978</v>
      </c>
    </row>
    <row r="48" spans="2:19" x14ac:dyDescent="0.25">
      <c r="B48" s="20" t="s">
        <v>6</v>
      </c>
      <c r="C48" s="4">
        <v>6.7990174608566898E-6</v>
      </c>
      <c r="D48" s="3">
        <v>2.1723234076716132E-4</v>
      </c>
      <c r="E48" s="3">
        <v>2.3618388776568138E-3</v>
      </c>
      <c r="F48" s="3">
        <v>6.4582841358685776E-3</v>
      </c>
      <c r="G48" s="3">
        <v>3.6713586522136452E-2</v>
      </c>
      <c r="H48" s="3">
        <v>0.23320305451988604</v>
      </c>
      <c r="I48" s="3">
        <v>9.9658672945982366E-2</v>
      </c>
      <c r="J48" s="6">
        <v>0.62138053164024165</v>
      </c>
      <c r="L48" s="18">
        <f t="shared" si="16"/>
        <v>0.99999999999999989</v>
      </c>
    </row>
    <row r="49" spans="2:12" x14ac:dyDescent="0.25">
      <c r="B49" s="21" t="s">
        <v>7</v>
      </c>
      <c r="C49" s="4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6">
        <v>1</v>
      </c>
      <c r="L49" s="18">
        <f t="shared" si="16"/>
        <v>1</v>
      </c>
    </row>
    <row r="51" spans="2:12" x14ac:dyDescent="0.25">
      <c r="B51" s="16" t="s">
        <v>33</v>
      </c>
    </row>
    <row r="53" spans="2:12" x14ac:dyDescent="0.25">
      <c r="C53" s="5" t="s">
        <v>0</v>
      </c>
      <c r="D53" s="5" t="s">
        <v>1</v>
      </c>
      <c r="E53" s="5" t="s">
        <v>2</v>
      </c>
      <c r="F53" s="5" t="s">
        <v>3</v>
      </c>
      <c r="G53" s="5" t="s">
        <v>4</v>
      </c>
      <c r="H53" s="5" t="s">
        <v>5</v>
      </c>
      <c r="I53" s="5" t="s">
        <v>6</v>
      </c>
      <c r="J53" s="7" t="s">
        <v>7</v>
      </c>
      <c r="L53" s="2" t="s">
        <v>8</v>
      </c>
    </row>
    <row r="54" spans="2:12" x14ac:dyDescent="0.25">
      <c r="B54" s="19" t="s">
        <v>0</v>
      </c>
      <c r="C54" s="4" cm="1">
        <f t="array" ref="C54:J61">MMULT(_xlfn.ANCHORARRAY(C42),$C$5:$J$12)</f>
        <v>0.59012554688923502</v>
      </c>
      <c r="D54" s="3">
        <v>0.31404096432507861</v>
      </c>
      <c r="E54" s="3">
        <v>7.564285471186824E-2</v>
      </c>
      <c r="F54" s="3">
        <v>1.0865472985832876E-2</v>
      </c>
      <c r="G54" s="3">
        <v>4.3596253779810187E-3</v>
      </c>
      <c r="H54" s="3">
        <v>2.4838417198327842E-3</v>
      </c>
      <c r="I54" s="3">
        <v>1.0607030088159814E-3</v>
      </c>
      <c r="J54" s="6">
        <v>1.4209909813559267E-3</v>
      </c>
      <c r="L54" s="18">
        <f>SUM(C54:J54)</f>
        <v>1.0000000000000004</v>
      </c>
    </row>
    <row r="55" spans="2:12" x14ac:dyDescent="0.25">
      <c r="B55" s="19" t="s">
        <v>1</v>
      </c>
      <c r="C55" s="4">
        <v>1.6528999925257477E-2</v>
      </c>
      <c r="D55" s="3">
        <v>0.63496371206207358</v>
      </c>
      <c r="E55" s="3">
        <v>0.28725067921804814</v>
      </c>
      <c r="F55" s="3">
        <v>4.8949105589792936E-2</v>
      </c>
      <c r="G55" s="3">
        <v>5.9400996252110556E-3</v>
      </c>
      <c r="H55" s="3">
        <v>3.5672675705009068E-3</v>
      </c>
      <c r="I55" s="3">
        <v>6.8958521274798757E-4</v>
      </c>
      <c r="J55" s="6">
        <v>2.1105507963677353E-3</v>
      </c>
      <c r="L55" s="18">
        <f t="shared" ref="L55:L61" si="17">SUM(C55:J55)</f>
        <v>0.99999999999999967</v>
      </c>
    </row>
    <row r="56" spans="2:12" x14ac:dyDescent="0.25">
      <c r="B56" s="19" t="s">
        <v>2</v>
      </c>
      <c r="C56" s="4">
        <v>1.3379393102931657E-3</v>
      </c>
      <c r="D56" s="3">
        <v>5.8313974256877933E-2</v>
      </c>
      <c r="E56" s="3">
        <v>0.71450396944823968</v>
      </c>
      <c r="F56" s="3">
        <v>0.19020025912944322</v>
      </c>
      <c r="G56" s="3">
        <v>2.2812206857662821E-2</v>
      </c>
      <c r="H56" s="3">
        <v>7.6342130350075706E-3</v>
      </c>
      <c r="I56" s="3">
        <v>1.051770089290678E-3</v>
      </c>
      <c r="J56" s="6">
        <v>4.1456678731858956E-3</v>
      </c>
      <c r="L56" s="18">
        <f t="shared" si="17"/>
        <v>1.0000000000000011</v>
      </c>
    </row>
    <row r="57" spans="2:12" x14ac:dyDescent="0.25">
      <c r="B57" s="20" t="s">
        <v>3</v>
      </c>
      <c r="C57" s="4">
        <v>1.3650628902681214E-4</v>
      </c>
      <c r="D57" s="3">
        <v>7.2970049316218137E-3</v>
      </c>
      <c r="E57" s="3">
        <v>0.12442250048460436</v>
      </c>
      <c r="F57" s="3">
        <v>0.69802925912317193</v>
      </c>
      <c r="G57" s="3">
        <v>0.1192475705313485</v>
      </c>
      <c r="H57" s="3">
        <v>3.2921455011797572E-2</v>
      </c>
      <c r="I57" s="3">
        <v>4.6648975351299598E-3</v>
      </c>
      <c r="J57" s="6">
        <v>1.3280806093299291E-2</v>
      </c>
      <c r="L57" s="18">
        <f t="shared" si="17"/>
        <v>1.0000000000000002</v>
      </c>
    </row>
    <row r="58" spans="2:12" x14ac:dyDescent="0.25">
      <c r="B58" s="20" t="s">
        <v>4</v>
      </c>
      <c r="C58" s="4">
        <v>3.5523126517019788E-4</v>
      </c>
      <c r="D58" s="3">
        <v>1.5502509157589008E-3</v>
      </c>
      <c r="E58" s="3">
        <v>1.6584627731748628E-2</v>
      </c>
      <c r="F58" s="3">
        <v>0.16304471149050478</v>
      </c>
      <c r="G58" s="3">
        <v>0.5207500974160082</v>
      </c>
      <c r="H58" s="3">
        <v>0.20920279614099899</v>
      </c>
      <c r="I58" s="3">
        <v>2.5812235198624904E-2</v>
      </c>
      <c r="J58" s="6">
        <v>6.2700049841185185E-2</v>
      </c>
      <c r="L58" s="18">
        <f t="shared" si="17"/>
        <v>0.99999999999999967</v>
      </c>
    </row>
    <row r="59" spans="2:12" x14ac:dyDescent="0.25">
      <c r="B59" s="20" t="s">
        <v>5</v>
      </c>
      <c r="C59" s="4">
        <v>4.8824125577168515E-5</v>
      </c>
      <c r="D59" s="3">
        <v>9.3575068369900361E-4</v>
      </c>
      <c r="E59" s="3">
        <v>4.1757646883932645E-3</v>
      </c>
      <c r="F59" s="3">
        <v>2.4119344075959153E-2</v>
      </c>
      <c r="G59" s="3">
        <v>0.1476886052464696</v>
      </c>
      <c r="H59" s="3">
        <v>0.52176796103586021</v>
      </c>
      <c r="I59" s="3">
        <v>7.5032271984955171E-2</v>
      </c>
      <c r="J59" s="6">
        <v>0.22623147815908642</v>
      </c>
      <c r="L59" s="18">
        <f t="shared" si="17"/>
        <v>1</v>
      </c>
    </row>
    <row r="60" spans="2:12" x14ac:dyDescent="0.25">
      <c r="B60" s="20" t="s">
        <v>6</v>
      </c>
      <c r="C60" s="4">
        <v>1.1721397300429858E-5</v>
      </c>
      <c r="D60" s="3">
        <v>3.0307772905508921E-4</v>
      </c>
      <c r="E60" s="3">
        <v>2.7199442834479454E-3</v>
      </c>
      <c r="F60" s="3">
        <v>8.4809534399205421E-3</v>
      </c>
      <c r="G60" s="3">
        <v>4.4531591649969261E-2</v>
      </c>
      <c r="H60" s="3">
        <v>0.21834853294581455</v>
      </c>
      <c r="I60" s="3">
        <v>6.5599517222088566E-2</v>
      </c>
      <c r="J60" s="6">
        <v>0.66000466133240354</v>
      </c>
      <c r="L60" s="18">
        <f t="shared" si="17"/>
        <v>1</v>
      </c>
    </row>
    <row r="61" spans="2:12" x14ac:dyDescent="0.25">
      <c r="B61" s="21" t="s">
        <v>7</v>
      </c>
      <c r="C61" s="4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  <c r="J61" s="6">
        <v>1</v>
      </c>
      <c r="L61" s="18">
        <f t="shared" si="17"/>
        <v>1</v>
      </c>
    </row>
    <row r="63" spans="2:12" x14ac:dyDescent="0.25">
      <c r="B63" s="16" t="s">
        <v>34</v>
      </c>
    </row>
    <row r="65" spans="2:12" x14ac:dyDescent="0.25">
      <c r="C65" s="5" t="s">
        <v>0</v>
      </c>
      <c r="D65" s="5" t="s">
        <v>1</v>
      </c>
      <c r="E65" s="5" t="s">
        <v>2</v>
      </c>
      <c r="F65" s="5" t="s">
        <v>3</v>
      </c>
      <c r="G65" s="5" t="s">
        <v>4</v>
      </c>
      <c r="H65" s="5" t="s">
        <v>5</v>
      </c>
      <c r="I65" s="5" t="s">
        <v>6</v>
      </c>
      <c r="J65" s="7" t="s">
        <v>7</v>
      </c>
      <c r="L65" s="2" t="s">
        <v>8</v>
      </c>
    </row>
    <row r="66" spans="2:12" x14ac:dyDescent="0.25">
      <c r="B66" s="19" t="s">
        <v>0</v>
      </c>
      <c r="C66" s="4" cm="1">
        <f t="array" ref="C66:J73">MMULT(_xlfn.ANCHORARRAY(C54),$C$5:$J$12)</f>
        <v>0.53198845552258245</v>
      </c>
      <c r="D66" s="3">
        <v>0.34190458814729657</v>
      </c>
      <c r="E66" s="3">
        <v>9.8741230115029999E-2</v>
      </c>
      <c r="F66" s="3">
        <v>1.5899691864698168E-2</v>
      </c>
      <c r="G66" s="3">
        <v>5.2636458803857209E-3</v>
      </c>
      <c r="H66" s="3">
        <v>3.1139246105328796E-3</v>
      </c>
      <c r="I66" s="3">
        <v>1.1096057805434652E-3</v>
      </c>
      <c r="J66" s="6">
        <v>1.9788580789312478E-3</v>
      </c>
      <c r="L66" s="18">
        <f>SUM(C66:J66)</f>
        <v>1.0000000000000004</v>
      </c>
    </row>
    <row r="67" spans="2:12" x14ac:dyDescent="0.25">
      <c r="B67" s="19" t="s">
        <v>1</v>
      </c>
      <c r="C67" s="4">
        <v>1.8021944613753695E-2</v>
      </c>
      <c r="D67" s="3">
        <v>0.58357751265271196</v>
      </c>
      <c r="E67" s="3">
        <v>0.31895345716577256</v>
      </c>
      <c r="F67" s="3">
        <v>6.3118681476976538E-2</v>
      </c>
      <c r="G67" s="3">
        <v>8.1782934160511116E-3</v>
      </c>
      <c r="H67" s="3">
        <v>4.499899954675611E-3</v>
      </c>
      <c r="I67" s="3">
        <v>8.1202397008928087E-4</v>
      </c>
      <c r="J67" s="6">
        <v>2.8381867499689527E-3</v>
      </c>
      <c r="L67" s="18">
        <f t="shared" ref="L67:L73" si="18">SUM(C67:J67)</f>
        <v>0.99999999999999967</v>
      </c>
    </row>
    <row r="68" spans="2:12" x14ac:dyDescent="0.25">
      <c r="B68" s="19" t="s">
        <v>2</v>
      </c>
      <c r="C68" s="4">
        <v>1.6393932547641178E-3</v>
      </c>
      <c r="D68" s="3">
        <v>6.4805133085877847E-2</v>
      </c>
      <c r="E68" s="3">
        <v>0.67455304635562396</v>
      </c>
      <c r="F68" s="3">
        <v>0.2132946456349985</v>
      </c>
      <c r="G68" s="3">
        <v>2.8850128004651553E-2</v>
      </c>
      <c r="H68" s="3">
        <v>9.9315389112942052E-3</v>
      </c>
      <c r="I68" s="3">
        <v>1.3773079196389101E-3</v>
      </c>
      <c r="J68" s="6">
        <v>5.5488068331518356E-3</v>
      </c>
      <c r="L68" s="18">
        <f t="shared" si="18"/>
        <v>1.0000000000000007</v>
      </c>
    </row>
    <row r="69" spans="2:12" x14ac:dyDescent="0.25">
      <c r="B69" s="20" t="s">
        <v>3</v>
      </c>
      <c r="C69" s="4">
        <v>1.9752105891879257E-4</v>
      </c>
      <c r="D69" s="3">
        <v>9.2750965334806226E-3</v>
      </c>
      <c r="E69" s="3">
        <v>0.13949118656091072</v>
      </c>
      <c r="F69" s="3">
        <v>0.6568375169221623</v>
      </c>
      <c r="G69" s="3">
        <v>0.13022907813261597</v>
      </c>
      <c r="H69" s="3">
        <v>4.058792592988273E-2</v>
      </c>
      <c r="I69" s="3">
        <v>5.6506559221766155E-3</v>
      </c>
      <c r="J69" s="6">
        <v>1.7731018939852516E-2</v>
      </c>
      <c r="L69" s="18">
        <f t="shared" si="18"/>
        <v>1.0000000000000002</v>
      </c>
    </row>
    <row r="70" spans="2:12" x14ac:dyDescent="0.25">
      <c r="B70" s="20" t="s">
        <v>4</v>
      </c>
      <c r="C70" s="4">
        <v>3.8785862442903158E-4</v>
      </c>
      <c r="D70" s="3">
        <v>2.0108492467144539E-3</v>
      </c>
      <c r="E70" s="3">
        <v>2.1689521301003736E-2</v>
      </c>
      <c r="F70" s="3">
        <v>0.17762238334151817</v>
      </c>
      <c r="G70" s="3">
        <v>0.46715457826339502</v>
      </c>
      <c r="H70" s="3">
        <v>0.22129967246642004</v>
      </c>
      <c r="I70" s="3">
        <v>2.8326159639477037E-2</v>
      </c>
      <c r="J70" s="6">
        <v>8.1508977117042289E-2</v>
      </c>
      <c r="L70" s="18">
        <f t="shared" si="18"/>
        <v>0.99999999999999978</v>
      </c>
    </row>
    <row r="71" spans="2:12" x14ac:dyDescent="0.25">
      <c r="B71" s="20" t="s">
        <v>5</v>
      </c>
      <c r="C71" s="4">
        <v>6.5644218122400415E-5</v>
      </c>
      <c r="D71" s="3">
        <v>1.0950413197807034E-3</v>
      </c>
      <c r="E71" s="3">
        <v>5.3462552625618606E-3</v>
      </c>
      <c r="F71" s="3">
        <v>3.0838376964938706E-2</v>
      </c>
      <c r="G71" s="3">
        <v>0.1558619296435195</v>
      </c>
      <c r="H71" s="3">
        <v>0.46935623341178317</v>
      </c>
      <c r="I71" s="3">
        <v>6.9156810690681525E-2</v>
      </c>
      <c r="J71" s="6">
        <v>0.2682797084886121</v>
      </c>
      <c r="L71" s="18">
        <f t="shared" si="18"/>
        <v>1</v>
      </c>
    </row>
    <row r="72" spans="2:12" x14ac:dyDescent="0.25">
      <c r="B72" s="20" t="s">
        <v>6</v>
      </c>
      <c r="C72" s="4">
        <v>1.7503827793703591E-5</v>
      </c>
      <c r="D72" s="3">
        <v>3.8740107342153941E-4</v>
      </c>
      <c r="E72" s="3">
        <v>3.0929218638935867E-3</v>
      </c>
      <c r="F72" s="3">
        <v>1.0669136529271279E-2</v>
      </c>
      <c r="G72" s="3">
        <v>5.0417068136014924E-2</v>
      </c>
      <c r="H72" s="3">
        <v>0.2006994935878276</v>
      </c>
      <c r="I72" s="3">
        <v>4.6871215987962372E-2</v>
      </c>
      <c r="J72" s="6">
        <v>0.68784525899381488</v>
      </c>
      <c r="L72" s="18">
        <f t="shared" si="18"/>
        <v>0.99999999999999989</v>
      </c>
    </row>
    <row r="73" spans="2:12" x14ac:dyDescent="0.25">
      <c r="B73" s="21" t="s">
        <v>7</v>
      </c>
      <c r="C73" s="4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0</v>
      </c>
      <c r="J73" s="6">
        <v>1</v>
      </c>
      <c r="L73" s="18">
        <f t="shared" si="18"/>
        <v>1</v>
      </c>
    </row>
    <row r="75" spans="2:12" x14ac:dyDescent="0.25">
      <c r="B75" s="16" t="s">
        <v>35</v>
      </c>
    </row>
    <row r="77" spans="2:12" x14ac:dyDescent="0.25">
      <c r="C77" s="5" t="s">
        <v>0</v>
      </c>
      <c r="D77" s="5" t="s">
        <v>1</v>
      </c>
      <c r="E77" s="5" t="s">
        <v>2</v>
      </c>
      <c r="F77" s="5" t="s">
        <v>3</v>
      </c>
      <c r="G77" s="5" t="s">
        <v>4</v>
      </c>
      <c r="H77" s="5" t="s">
        <v>5</v>
      </c>
      <c r="I77" s="5" t="s">
        <v>6</v>
      </c>
      <c r="J77" s="7" t="s">
        <v>7</v>
      </c>
      <c r="L77" s="2" t="s">
        <v>8</v>
      </c>
    </row>
    <row r="78" spans="2:12" x14ac:dyDescent="0.25">
      <c r="B78" s="19" t="s">
        <v>0</v>
      </c>
      <c r="C78" s="4" cm="1">
        <f t="array" ref="C78:J85">MMULT(_xlfn.ANCHORARRAY(C66),$C$5:$J$12)</f>
        <v>0.4798728164015067</v>
      </c>
      <c r="D78" s="3">
        <v>0.36218663227891806</v>
      </c>
      <c r="E78" s="3">
        <v>0.12226368714400193</v>
      </c>
      <c r="F78" s="3">
        <v>2.1869172978729205E-2</v>
      </c>
      <c r="G78" s="3">
        <v>6.2736109477711877E-3</v>
      </c>
      <c r="H78" s="3">
        <v>3.7708247949208053E-3</v>
      </c>
      <c r="I78" s="3">
        <v>1.158365139387199E-3</v>
      </c>
      <c r="J78" s="6">
        <v>2.6048903147654697E-3</v>
      </c>
      <c r="L78" s="18">
        <f>SUM(C78:J78)</f>
        <v>1.0000000000000007</v>
      </c>
    </row>
    <row r="79" spans="2:12" x14ac:dyDescent="0.25">
      <c r="B79" s="19" t="s">
        <v>1</v>
      </c>
      <c r="C79" s="4">
        <v>1.9119538985274881E-2</v>
      </c>
      <c r="D79" s="3">
        <v>0.53751396990507372</v>
      </c>
      <c r="E79" s="3">
        <v>0.34479444490720784</v>
      </c>
      <c r="F79" s="3">
        <v>7.7678064747709982E-2</v>
      </c>
      <c r="G79" s="3">
        <v>1.0728712959704722E-2</v>
      </c>
      <c r="H79" s="3">
        <v>5.5401762982578602E-3</v>
      </c>
      <c r="I79" s="3">
        <v>9.4792724522027106E-4</v>
      </c>
      <c r="J79" s="6">
        <v>3.677164951550248E-3</v>
      </c>
      <c r="L79" s="18">
        <f t="shared" ref="L79:L85" si="19">SUM(C79:J79)</f>
        <v>0.99999999999999956</v>
      </c>
    </row>
    <row r="80" spans="2:12" x14ac:dyDescent="0.25">
      <c r="B80" s="19" t="s">
        <v>2</v>
      </c>
      <c r="C80" s="4">
        <v>1.9344153275079974E-3</v>
      </c>
      <c r="D80" s="3">
        <v>7.0114888403538203E-2</v>
      </c>
      <c r="E80" s="3">
        <v>0.63874430790468817</v>
      </c>
      <c r="F80" s="3">
        <v>0.23292659876960209</v>
      </c>
      <c r="G80" s="3">
        <v>3.4920133208144938E-2</v>
      </c>
      <c r="H80" s="3">
        <v>1.2444166221777174E-2</v>
      </c>
      <c r="I80" s="3">
        <v>1.7300985748117887E-3</v>
      </c>
      <c r="J80" s="6">
        <v>7.1853915899306965E-3</v>
      </c>
      <c r="L80" s="18">
        <f t="shared" si="19"/>
        <v>1.0000000000000009</v>
      </c>
    </row>
    <row r="81" spans="2:12" x14ac:dyDescent="0.25">
      <c r="B81" s="20" t="s">
        <v>3</v>
      </c>
      <c r="C81" s="4">
        <v>2.6639383786579077E-4</v>
      </c>
      <c r="D81" s="3">
        <v>1.1290914986041947E-2</v>
      </c>
      <c r="E81" s="3">
        <v>0.1522921676776863</v>
      </c>
      <c r="F81" s="3">
        <v>0.62013744356488965</v>
      </c>
      <c r="G81" s="3">
        <v>0.13868788669723611</v>
      </c>
      <c r="H81" s="3">
        <v>4.7938453956845553E-2</v>
      </c>
      <c r="I81" s="3">
        <v>6.6191358334496686E-3</v>
      </c>
      <c r="J81" s="6">
        <v>2.2767603445985243E-2</v>
      </c>
      <c r="L81" s="18">
        <f t="shared" si="19"/>
        <v>1.0000000000000002</v>
      </c>
    </row>
    <row r="82" spans="2:12" x14ac:dyDescent="0.25">
      <c r="B82" s="20" t="s">
        <v>4</v>
      </c>
      <c r="C82" s="4">
        <v>4.1458390840338105E-4</v>
      </c>
      <c r="D82" s="3">
        <v>2.5181011712356164E-3</v>
      </c>
      <c r="E82" s="3">
        <v>2.6903210066287007E-2</v>
      </c>
      <c r="F82" s="3">
        <v>0.18871093433140804</v>
      </c>
      <c r="G82" s="3">
        <v>0.42197765454784436</v>
      </c>
      <c r="H82" s="3">
        <v>0.22827816082902949</v>
      </c>
      <c r="I82" s="3">
        <v>3.0018067441504814E-2</v>
      </c>
      <c r="J82" s="6">
        <v>0.10117928770428708</v>
      </c>
      <c r="L82" s="18">
        <f t="shared" si="19"/>
        <v>0.99999999999999978</v>
      </c>
    </row>
    <row r="83" spans="2:12" x14ac:dyDescent="0.25">
      <c r="B83" s="20" t="s">
        <v>5</v>
      </c>
      <c r="C83" s="4">
        <v>8.268887416144453E-5</v>
      </c>
      <c r="D83" s="3">
        <v>1.2557970380600925E-3</v>
      </c>
      <c r="E83" s="3">
        <v>6.6368814900321727E-3</v>
      </c>
      <c r="F83" s="3">
        <v>3.7407438135254538E-2</v>
      </c>
      <c r="G83" s="3">
        <v>0.16044515853958746</v>
      </c>
      <c r="H83" s="3">
        <v>0.42417042838098146</v>
      </c>
      <c r="I83" s="3">
        <v>6.3229753179680243E-2</v>
      </c>
      <c r="J83" s="6">
        <v>0.30677185436224252</v>
      </c>
      <c r="L83" s="18">
        <f t="shared" si="19"/>
        <v>1</v>
      </c>
    </row>
    <row r="84" spans="2:12" x14ac:dyDescent="0.25">
      <c r="B84" s="20" t="s">
        <v>6</v>
      </c>
      <c r="C84" s="4">
        <v>2.3841538180152442E-5</v>
      </c>
      <c r="D84" s="3">
        <v>4.6973431600061161E-4</v>
      </c>
      <c r="E84" s="3">
        <v>3.4954985018738486E-3</v>
      </c>
      <c r="F84" s="3">
        <v>1.2937362354799984E-2</v>
      </c>
      <c r="G84" s="3">
        <v>5.4576532481742143E-2</v>
      </c>
      <c r="H84" s="3">
        <v>0.18299992253230415</v>
      </c>
      <c r="I84" s="3">
        <v>3.6061726133572704E-2</v>
      </c>
      <c r="J84" s="6">
        <v>0.70943538214152624</v>
      </c>
      <c r="L84" s="18">
        <f t="shared" si="19"/>
        <v>0.99999999999999989</v>
      </c>
    </row>
    <row r="85" spans="2:12" x14ac:dyDescent="0.25">
      <c r="B85" s="21" t="s">
        <v>7</v>
      </c>
      <c r="C85" s="4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0</v>
      </c>
      <c r="J85" s="6">
        <v>1</v>
      </c>
      <c r="L85" s="18">
        <f t="shared" si="19"/>
        <v>1</v>
      </c>
    </row>
    <row r="87" spans="2:12" x14ac:dyDescent="0.25">
      <c r="B87" s="16" t="s">
        <v>36</v>
      </c>
    </row>
    <row r="89" spans="2:12" x14ac:dyDescent="0.25">
      <c r="C89" s="5" t="s">
        <v>0</v>
      </c>
      <c r="D89" s="5" t="s">
        <v>1</v>
      </c>
      <c r="E89" s="5" t="s">
        <v>2</v>
      </c>
      <c r="F89" s="5" t="s">
        <v>3</v>
      </c>
      <c r="G89" s="5" t="s">
        <v>4</v>
      </c>
      <c r="H89" s="5" t="s">
        <v>5</v>
      </c>
      <c r="I89" s="5" t="s">
        <v>6</v>
      </c>
      <c r="J89" s="7" t="s">
        <v>7</v>
      </c>
      <c r="L89" s="2" t="s">
        <v>8</v>
      </c>
    </row>
    <row r="90" spans="2:12" x14ac:dyDescent="0.25">
      <c r="B90" s="19" t="s">
        <v>0</v>
      </c>
      <c r="C90" s="4" cm="1">
        <f t="array" ref="C90:J97">MMULT(_xlfn.ANCHORARRAY(C78),$C$5:$J$12)</f>
        <v>0.43313262209743142</v>
      </c>
      <c r="D90" s="3">
        <v>0.37614482909768915</v>
      </c>
      <c r="E90" s="3">
        <v>0.14564103716226759</v>
      </c>
      <c r="F90" s="3">
        <v>2.8695857662479909E-2</v>
      </c>
      <c r="G90" s="3">
        <v>7.4135250300843931E-3</v>
      </c>
      <c r="H90" s="3">
        <v>4.4598053574465947E-3</v>
      </c>
      <c r="I90" s="3">
        <v>1.2116127077641528E-3</v>
      </c>
      <c r="J90" s="6">
        <v>3.300710884837342E-3</v>
      </c>
      <c r="L90" s="18">
        <f>SUM(C90:J90)</f>
        <v>1.0000000000000007</v>
      </c>
    </row>
    <row r="91" spans="2:12" x14ac:dyDescent="0.25">
      <c r="B91" s="19" t="s">
        <v>1</v>
      </c>
      <c r="C91" s="4">
        <v>1.9886602490406184E-2</v>
      </c>
      <c r="D91" s="3">
        <v>0.49615957127248184</v>
      </c>
      <c r="E91" s="3">
        <v>0.3656258425174963</v>
      </c>
      <c r="F91" s="3">
        <v>9.2340920641108784E-2</v>
      </c>
      <c r="G91" s="3">
        <v>1.355581498401495E-2</v>
      </c>
      <c r="H91" s="3">
        <v>6.6958992156937579E-3</v>
      </c>
      <c r="I91" s="3">
        <v>1.0993437702636207E-3</v>
      </c>
      <c r="J91" s="6">
        <v>4.636005108534071E-3</v>
      </c>
      <c r="L91" s="18">
        <f t="shared" ref="L91:L97" si="20">SUM(C91:J91)</f>
        <v>0.99999999999999956</v>
      </c>
    </row>
    <row r="92" spans="2:12" x14ac:dyDescent="0.25">
      <c r="B92" s="19" t="s">
        <v>2</v>
      </c>
      <c r="C92" s="4">
        <v>2.2187489428164885E-3</v>
      </c>
      <c r="D92" s="3">
        <v>7.4413502117654143E-2</v>
      </c>
      <c r="E92" s="3">
        <v>0.60657361656399622</v>
      </c>
      <c r="F92" s="3">
        <v>0.2495680932922032</v>
      </c>
      <c r="G92" s="3">
        <v>4.0915028338425516E-2</v>
      </c>
      <c r="H92" s="3">
        <v>1.5136629957046259E-2</v>
      </c>
      <c r="I92" s="3">
        <v>2.1061661349402764E-3</v>
      </c>
      <c r="J92" s="6">
        <v>9.0682146529190641E-3</v>
      </c>
      <c r="L92" s="18">
        <f t="shared" si="20"/>
        <v>1.0000000000000011</v>
      </c>
    </row>
    <row r="93" spans="2:12" x14ac:dyDescent="0.25">
      <c r="B93" s="20" t="s">
        <v>3</v>
      </c>
      <c r="C93" s="4">
        <v>3.4176215562128865E-4</v>
      </c>
      <c r="D93" s="3">
        <v>1.3308501148925013E-2</v>
      </c>
      <c r="E93" s="3">
        <v>0.16313644914935019</v>
      </c>
      <c r="F93" s="3">
        <v>0.58734411716259982</v>
      </c>
      <c r="G93" s="3">
        <v>0.14510400855913622</v>
      </c>
      <c r="H93" s="3">
        <v>5.4851442857684653E-2</v>
      </c>
      <c r="I93" s="3">
        <v>7.5504239992928435E-3</v>
      </c>
      <c r="J93" s="6">
        <v>2.8363294967390346E-2</v>
      </c>
      <c r="L93" s="18">
        <f t="shared" si="20"/>
        <v>1.0000000000000004</v>
      </c>
    </row>
    <row r="94" spans="2:12" x14ac:dyDescent="0.25">
      <c r="B94" s="20" t="s">
        <v>4</v>
      </c>
      <c r="C94" s="4">
        <v>4.3718469774418347E-4</v>
      </c>
      <c r="D94" s="3">
        <v>3.0666976418289426E-3</v>
      </c>
      <c r="E94" s="3">
        <v>3.2110652545994468E-2</v>
      </c>
      <c r="F94" s="3">
        <v>0.19699086969940915</v>
      </c>
      <c r="G94" s="3">
        <v>0.38368839605454974</v>
      </c>
      <c r="H94" s="3">
        <v>0.2313332706316969</v>
      </c>
      <c r="I94" s="3">
        <v>3.1040913001264749E-2</v>
      </c>
      <c r="J94" s="6">
        <v>0.12133201572751169</v>
      </c>
      <c r="L94" s="18">
        <f t="shared" si="20"/>
        <v>0.99999999999999978</v>
      </c>
    </row>
    <row r="95" spans="2:12" x14ac:dyDescent="0.25">
      <c r="B95" s="20" t="s">
        <v>5</v>
      </c>
      <c r="C95" s="4">
        <v>9.9571105184225939E-5</v>
      </c>
      <c r="D95" s="3">
        <v>1.4205698463730916E-3</v>
      </c>
      <c r="E95" s="3">
        <v>8.0351554237743355E-3</v>
      </c>
      <c r="F95" s="3">
        <v>4.367839657387089E-2</v>
      </c>
      <c r="G95" s="3">
        <v>0.16229020123402357</v>
      </c>
      <c r="H95" s="3">
        <v>0.38490176168556384</v>
      </c>
      <c r="I95" s="3">
        <v>5.765188120699237E-2</v>
      </c>
      <c r="J95" s="6">
        <v>0.34192246292421757</v>
      </c>
      <c r="L95" s="18">
        <f t="shared" si="20"/>
        <v>0.99999999999999989</v>
      </c>
    </row>
    <row r="96" spans="2:12" x14ac:dyDescent="0.25">
      <c r="B96" s="20" t="s">
        <v>6</v>
      </c>
      <c r="C96" s="4">
        <v>3.0484179981391896E-5</v>
      </c>
      <c r="D96" s="3">
        <v>5.5046085467306486E-4</v>
      </c>
      <c r="E96" s="3">
        <v>3.9335941476911895E-3</v>
      </c>
      <c r="F96" s="3">
        <v>1.5209303679412997E-2</v>
      </c>
      <c r="G96" s="3">
        <v>5.7286601687089315E-2</v>
      </c>
      <c r="H96" s="3">
        <v>0.16641401375197376</v>
      </c>
      <c r="I96" s="3">
        <v>2.9414890160581617E-2</v>
      </c>
      <c r="J96" s="6">
        <v>0.72716065153859655</v>
      </c>
      <c r="L96" s="18">
        <f t="shared" si="20"/>
        <v>0.99999999999999989</v>
      </c>
    </row>
    <row r="97" spans="2:12" x14ac:dyDescent="0.25">
      <c r="B97" s="21" t="s">
        <v>7</v>
      </c>
      <c r="C97" s="4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6">
        <v>1</v>
      </c>
      <c r="L97" s="18">
        <f t="shared" si="20"/>
        <v>1</v>
      </c>
    </row>
    <row r="99" spans="2:12" x14ac:dyDescent="0.25">
      <c r="B99" s="16" t="s">
        <v>37</v>
      </c>
    </row>
    <row r="101" spans="2:12" x14ac:dyDescent="0.25">
      <c r="C101" s="5" t="s">
        <v>0</v>
      </c>
      <c r="D101" s="5" t="s">
        <v>1</v>
      </c>
      <c r="E101" s="5" t="s">
        <v>2</v>
      </c>
      <c r="F101" s="5" t="s">
        <v>3</v>
      </c>
      <c r="G101" s="5" t="s">
        <v>4</v>
      </c>
      <c r="H101" s="5" t="s">
        <v>5</v>
      </c>
      <c r="I101" s="5" t="s">
        <v>6</v>
      </c>
      <c r="J101" s="7" t="s">
        <v>7</v>
      </c>
      <c r="L101" s="2" t="s">
        <v>8</v>
      </c>
    </row>
    <row r="102" spans="2:12" x14ac:dyDescent="0.25">
      <c r="B102" s="19" t="s">
        <v>0</v>
      </c>
      <c r="C102" s="4" cm="1">
        <f t="array" ref="C102:J109">MMULT(_xlfn.ANCHORARRAY(C90),$C$5:$J$12)</f>
        <v>0.39119323850111931</v>
      </c>
      <c r="D102" s="3">
        <v>0.38485328250794354</v>
      </c>
      <c r="E102" s="3">
        <v>0.16843859741914202</v>
      </c>
      <c r="F102" s="3">
        <v>3.6285685767866796E-2</v>
      </c>
      <c r="G102" s="3">
        <v>8.7001435789674213E-3</v>
      </c>
      <c r="H102" s="3">
        <v>5.1875016699756017E-3</v>
      </c>
      <c r="I102" s="3">
        <v>1.2720149827078623E-3</v>
      </c>
      <c r="J102" s="6">
        <v>4.0695355722779689E-3</v>
      </c>
      <c r="L102" s="18">
        <f>SUM(C102:J102)</f>
        <v>1.0000000000000007</v>
      </c>
    </row>
    <row r="103" spans="2:12" x14ac:dyDescent="0.25">
      <c r="B103" s="19" t="s">
        <v>1</v>
      </c>
      <c r="C103" s="4">
        <v>2.0378573099611011E-2</v>
      </c>
      <c r="D103" s="3">
        <v>0.45897595626496379</v>
      </c>
      <c r="E103" s="3">
        <v>0.38218113117681612</v>
      </c>
      <c r="F103" s="3">
        <v>0.10688145720352936</v>
      </c>
      <c r="G103" s="3">
        <v>1.6620968660495221E-2</v>
      </c>
      <c r="H103" s="3">
        <v>7.9708361145004632E-3</v>
      </c>
      <c r="I103" s="3">
        <v>1.2672961411005583E-3</v>
      </c>
      <c r="J103" s="6">
        <v>5.7237813389829813E-3</v>
      </c>
      <c r="L103" s="18">
        <f t="shared" ref="L103:L109" si="21">SUM(C103:J103)</f>
        <v>0.99999999999999944</v>
      </c>
    </row>
    <row r="104" spans="2:12" x14ac:dyDescent="0.25">
      <c r="B104" s="19" t="s">
        <v>2</v>
      </c>
      <c r="C104" s="4">
        <v>2.4892833117569971E-3</v>
      </c>
      <c r="D104" s="3">
        <v>7.7847659842525382E-2</v>
      </c>
      <c r="E104" s="3">
        <v>0.57760182905563728</v>
      </c>
      <c r="F104" s="3">
        <v>0.2636247684909096</v>
      </c>
      <c r="G104" s="3">
        <v>4.6755972578699574E-2</v>
      </c>
      <c r="H104" s="3">
        <v>1.797182511880677E-2</v>
      </c>
      <c r="I104" s="3">
        <v>2.501267219269577E-3</v>
      </c>
      <c r="J104" s="6">
        <v>1.1207394382396096E-2</v>
      </c>
      <c r="L104" s="18">
        <f t="shared" si="21"/>
        <v>1.0000000000000013</v>
      </c>
    </row>
    <row r="105" spans="2:12" x14ac:dyDescent="0.25">
      <c r="B105" s="20" t="s">
        <v>3</v>
      </c>
      <c r="C105" s="4">
        <v>4.2234350767937255E-4</v>
      </c>
      <c r="D105" s="3">
        <v>1.5299611443919905E-2</v>
      </c>
      <c r="E105" s="3">
        <v>0.17229098260625433</v>
      </c>
      <c r="F105" s="3">
        <v>0.55795662874045493</v>
      </c>
      <c r="G105" s="3">
        <v>0.14986599449320073</v>
      </c>
      <c r="H105" s="3">
        <v>6.1251892331162038E-2</v>
      </c>
      <c r="I105" s="3">
        <v>8.4296059550177452E-3</v>
      </c>
      <c r="J105" s="6">
        <v>3.4482940922311356E-2</v>
      </c>
      <c r="L105" s="18">
        <f t="shared" si="21"/>
        <v>1.0000000000000004</v>
      </c>
    </row>
    <row r="106" spans="2:12" x14ac:dyDescent="0.25">
      <c r="B106" s="20" t="s">
        <v>4</v>
      </c>
      <c r="C106" s="4">
        <v>4.5703971588536386E-4</v>
      </c>
      <c r="D106" s="3">
        <v>3.6506409730116328E-3</v>
      </c>
      <c r="E106" s="3">
        <v>3.7226489452873109E-2</v>
      </c>
      <c r="F106" s="3">
        <v>0.20301105896314037</v>
      </c>
      <c r="G106" s="3">
        <v>0.35104929722554562</v>
      </c>
      <c r="H106" s="3">
        <v>0.23140524769351858</v>
      </c>
      <c r="I106" s="3">
        <v>3.1532767075352221E-2</v>
      </c>
      <c r="J106" s="6">
        <v>0.14166745890067295</v>
      </c>
      <c r="L106" s="18">
        <f t="shared" si="21"/>
        <v>0.99999999999999978</v>
      </c>
    </row>
    <row r="107" spans="2:12" x14ac:dyDescent="0.25">
      <c r="B107" s="20" t="s">
        <v>5</v>
      </c>
      <c r="C107" s="4">
        <v>1.1604702556517684E-4</v>
      </c>
      <c r="D107" s="3">
        <v>1.5912063219683181E-3</v>
      </c>
      <c r="E107" s="3">
        <v>9.5251773342188931E-3</v>
      </c>
      <c r="F107" s="3">
        <v>4.9554567283393358E-2</v>
      </c>
      <c r="G107" s="3">
        <v>0.1620632598876115</v>
      </c>
      <c r="H107" s="3">
        <v>0.35055553889413138</v>
      </c>
      <c r="I107" s="3">
        <v>5.2567361346547561E-2</v>
      </c>
      <c r="J107" s="6">
        <v>0.37402684190656371</v>
      </c>
      <c r="L107" s="18">
        <f t="shared" si="21"/>
        <v>1</v>
      </c>
    </row>
    <row r="108" spans="2:12" x14ac:dyDescent="0.25">
      <c r="B108" s="20" t="s">
        <v>6</v>
      </c>
      <c r="C108" s="4">
        <v>3.7240388629651026E-5</v>
      </c>
      <c r="D108" s="3">
        <v>6.3026367928466871E-4</v>
      </c>
      <c r="E108" s="3">
        <v>4.4077618320632582E-3</v>
      </c>
      <c r="F108" s="3">
        <v>1.7423862259398241E-2</v>
      </c>
      <c r="G108" s="3">
        <v>5.8823330420120397E-2</v>
      </c>
      <c r="H108" s="3">
        <v>0.15135023095939937</v>
      </c>
      <c r="I108" s="3">
        <v>2.5015743934185354E-2</v>
      </c>
      <c r="J108" s="6">
        <v>0.74231156652691888</v>
      </c>
      <c r="L108" s="18">
        <f t="shared" si="21"/>
        <v>0.99999999999999978</v>
      </c>
    </row>
    <row r="109" spans="2:12" x14ac:dyDescent="0.25">
      <c r="B109" s="21" t="s">
        <v>7</v>
      </c>
      <c r="C109" s="4">
        <v>0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J109" s="6">
        <v>1</v>
      </c>
      <c r="L109" s="18">
        <f t="shared" si="21"/>
        <v>1</v>
      </c>
    </row>
    <row r="111" spans="2:12" x14ac:dyDescent="0.25">
      <c r="B111" s="16" t="s">
        <v>38</v>
      </c>
    </row>
    <row r="113" spans="2:12" x14ac:dyDescent="0.25">
      <c r="C113" s="5" t="s">
        <v>0</v>
      </c>
      <c r="D113" s="5" t="s">
        <v>1</v>
      </c>
      <c r="E113" s="5" t="s">
        <v>2</v>
      </c>
      <c r="F113" s="5" t="s">
        <v>3</v>
      </c>
      <c r="G113" s="5" t="s">
        <v>4</v>
      </c>
      <c r="H113" s="5" t="s">
        <v>5</v>
      </c>
      <c r="I113" s="5" t="s">
        <v>6</v>
      </c>
      <c r="J113" s="7" t="s">
        <v>7</v>
      </c>
      <c r="L113" s="2" t="s">
        <v>8</v>
      </c>
    </row>
    <row r="114" spans="2:12" x14ac:dyDescent="0.25">
      <c r="B114" s="19" t="s">
        <v>0</v>
      </c>
      <c r="C114" s="4" cm="1">
        <f t="array" ref="C114:J121">MMULT(_xlfn.ANCHORARRAY(C102),$C$5:$J$12)</f>
        <v>0.35354331530099342</v>
      </c>
      <c r="D114" s="3">
        <v>0.38922793740299272</v>
      </c>
      <c r="E114" s="3">
        <v>0.1903318503352196</v>
      </c>
      <c r="F114" s="3">
        <v>4.4535444403917247E-2</v>
      </c>
      <c r="G114" s="3">
        <v>1.0143767882913896E-2</v>
      </c>
      <c r="H114" s="3">
        <v>5.960865243439856E-3</v>
      </c>
      <c r="I114" s="3">
        <v>1.3412327269831745E-3</v>
      </c>
      <c r="J114" s="6">
        <v>4.9155867035406749E-3</v>
      </c>
      <c r="L114" s="18">
        <f>SUM(C114:J114)</f>
        <v>1.0000000000000007</v>
      </c>
    </row>
    <row r="115" spans="2:12" x14ac:dyDescent="0.25">
      <c r="B115" s="19" t="s">
        <v>1</v>
      </c>
      <c r="C115" s="4">
        <v>2.0642798466756575E-2</v>
      </c>
      <c r="D115" s="3">
        <v>0.42549036500545578</v>
      </c>
      <c r="E115" s="3">
        <v>0.39509146499477371</v>
      </c>
      <c r="F115" s="3">
        <v>0.12112395304519388</v>
      </c>
      <c r="G115" s="3">
        <v>1.9884552348800502E-2</v>
      </c>
      <c r="H115" s="3">
        <v>9.365090832453184E-3</v>
      </c>
      <c r="I115" s="3">
        <v>1.4520820772275368E-3</v>
      </c>
      <c r="J115" s="6">
        <v>6.9496932293384448E-3</v>
      </c>
      <c r="L115" s="18">
        <f t="shared" ref="L115:L121" si="22">SUM(C115:J115)</f>
        <v>0.99999999999999967</v>
      </c>
    </row>
    <row r="116" spans="2:12" x14ac:dyDescent="0.25">
      <c r="B116" s="19" t="s">
        <v>2</v>
      </c>
      <c r="C116" s="4">
        <v>2.743838994050128E-3</v>
      </c>
      <c r="D116" s="3">
        <v>8.054371075288605E-2</v>
      </c>
      <c r="E116" s="3">
        <v>0.55144611984478076</v>
      </c>
      <c r="F116" s="3">
        <v>0.27544560223959125</v>
      </c>
      <c r="G116" s="3">
        <v>5.2386337112915349E-2</v>
      </c>
      <c r="H116" s="3">
        <v>2.0913007256191826E-2</v>
      </c>
      <c r="I116" s="3">
        <v>2.9110322420648452E-3</v>
      </c>
      <c r="J116" s="6">
        <v>1.3610351557521279E-2</v>
      </c>
      <c r="L116" s="18">
        <f t="shared" si="22"/>
        <v>1.0000000000000016</v>
      </c>
    </row>
    <row r="117" spans="2:12" x14ac:dyDescent="0.25">
      <c r="B117" s="20" t="s">
        <v>3</v>
      </c>
      <c r="C117" s="4">
        <v>5.0694568643288728E-4</v>
      </c>
      <c r="D117" s="3">
        <v>1.7242379097439097E-2</v>
      </c>
      <c r="E117" s="3">
        <v>0.17998514874059032</v>
      </c>
      <c r="F117" s="3">
        <v>0.53154499590896787</v>
      </c>
      <c r="G117" s="3">
        <v>0.15328862823790138</v>
      </c>
      <c r="H117" s="3">
        <v>6.7099235332416435E-2</v>
      </c>
      <c r="I117" s="3">
        <v>9.2465084643069025E-3</v>
      </c>
      <c r="J117" s="6">
        <v>4.1086158531945562E-2</v>
      </c>
      <c r="L117" s="18">
        <f t="shared" si="22"/>
        <v>1.0000000000000004</v>
      </c>
    </row>
    <row r="118" spans="2:12" x14ac:dyDescent="0.25">
      <c r="B118" s="20" t="s">
        <v>4</v>
      </c>
      <c r="C118" s="4">
        <v>4.7520441079777824E-4</v>
      </c>
      <c r="D118" s="3">
        <v>4.2636419521477516E-3</v>
      </c>
      <c r="E118" s="3">
        <v>4.2188630373412347E-2</v>
      </c>
      <c r="F118" s="3">
        <v>0.20721441878781657</v>
      </c>
      <c r="G118" s="3">
        <v>0.3230587680637696</v>
      </c>
      <c r="H118" s="3">
        <v>0.22923444875679952</v>
      </c>
      <c r="I118" s="3">
        <v>3.1611431174843843E-2</v>
      </c>
      <c r="J118" s="6">
        <v>0.16195345648041243</v>
      </c>
      <c r="L118" s="18">
        <f t="shared" si="22"/>
        <v>1</v>
      </c>
    </row>
    <row r="119" spans="2:12" x14ac:dyDescent="0.25">
      <c r="B119" s="20" t="s">
        <v>5</v>
      </c>
      <c r="C119" s="4">
        <v>1.3197670628421407E-4</v>
      </c>
      <c r="D119" s="3">
        <v>1.7689446427773072E-3</v>
      </c>
      <c r="E119" s="3">
        <v>1.108930212574887E-2</v>
      </c>
      <c r="F119" s="3">
        <v>5.4977466275991323E-2</v>
      </c>
      <c r="G119" s="3">
        <v>0.16028654739252818</v>
      </c>
      <c r="H119" s="3">
        <v>0.32035124277334498</v>
      </c>
      <c r="I119" s="3">
        <v>4.8001292679405651E-2</v>
      </c>
      <c r="J119" s="6">
        <v>0.40339322740391942</v>
      </c>
      <c r="L119" s="18">
        <f t="shared" si="22"/>
        <v>1</v>
      </c>
    </row>
    <row r="120" spans="2:12" x14ac:dyDescent="0.25">
      <c r="B120" s="20" t="s">
        <v>6</v>
      </c>
      <c r="C120" s="4">
        <v>4.3972099451320516E-5</v>
      </c>
      <c r="D120" s="3">
        <v>7.098573612277756E-4</v>
      </c>
      <c r="E120" s="3">
        <v>4.9153173394897364E-3</v>
      </c>
      <c r="F120" s="3">
        <v>1.9535660854767472E-2</v>
      </c>
      <c r="G120" s="3">
        <v>5.943390432950197E-2</v>
      </c>
      <c r="H120" s="3">
        <v>0.13786804090217095</v>
      </c>
      <c r="I120" s="3">
        <v>2.1878588054396478E-2</v>
      </c>
      <c r="J120" s="6">
        <v>0.75561465905899405</v>
      </c>
      <c r="L120" s="18">
        <f t="shared" si="22"/>
        <v>0.99999999999999978</v>
      </c>
    </row>
    <row r="121" spans="2:12" x14ac:dyDescent="0.25">
      <c r="B121" s="21" t="s">
        <v>7</v>
      </c>
      <c r="C121" s="4">
        <v>0</v>
      </c>
      <c r="D121" s="3">
        <v>0</v>
      </c>
      <c r="E121" s="3">
        <v>0</v>
      </c>
      <c r="F121" s="3">
        <v>0</v>
      </c>
      <c r="G121" s="3">
        <v>0</v>
      </c>
      <c r="H121" s="3">
        <v>0</v>
      </c>
      <c r="I121" s="3">
        <v>0</v>
      </c>
      <c r="J121" s="6">
        <v>1</v>
      </c>
      <c r="L121" s="18">
        <f t="shared" si="22"/>
        <v>1</v>
      </c>
    </row>
  </sheetData>
  <mergeCells count="2">
    <mergeCell ref="R5:T5"/>
    <mergeCell ref="U5:X5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DEC08-9BAF-4833-983E-FCD983629431}">
  <sheetPr codeName="Hoja1">
    <tabColor theme="7" tint="0.39997558519241921"/>
  </sheetPr>
  <dimension ref="B22:C28"/>
  <sheetViews>
    <sheetView showGridLines="0" workbookViewId="0">
      <selection activeCell="C28" sqref="C28"/>
    </sheetView>
  </sheetViews>
  <sheetFormatPr baseColWidth="10" defaultRowHeight="15" x14ac:dyDescent="0.25"/>
  <sheetData>
    <row r="22" spans="2:3" x14ac:dyDescent="0.25">
      <c r="B22" s="52" t="s">
        <v>68</v>
      </c>
    </row>
    <row r="23" spans="2:3" x14ac:dyDescent="0.25">
      <c r="B23" s="55" t="s">
        <v>72</v>
      </c>
      <c r="C23" s="54">
        <v>0.75</v>
      </c>
    </row>
    <row r="24" spans="2:3" x14ac:dyDescent="0.25">
      <c r="B24" s="55" t="s">
        <v>73</v>
      </c>
      <c r="C24" s="54">
        <v>0.4</v>
      </c>
    </row>
    <row r="26" spans="2:3" x14ac:dyDescent="0.25">
      <c r="B26" s="52" t="s">
        <v>67</v>
      </c>
    </row>
    <row r="27" spans="2:3" x14ac:dyDescent="0.25">
      <c r="B27" s="53" t="s">
        <v>74</v>
      </c>
      <c r="C27" s="54">
        <f>1-C23</f>
        <v>0.25</v>
      </c>
    </row>
    <row r="28" spans="2:3" x14ac:dyDescent="0.25">
      <c r="B28" s="53" t="s">
        <v>75</v>
      </c>
      <c r="C28" s="56">
        <f>1-C24</f>
        <v>0.6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AB93-DEA6-43AD-AC8C-0A5B0412538C}">
  <sheetPr codeName="Sheet4">
    <tabColor theme="7" tint="0.39997558519241921"/>
  </sheetPr>
  <dimension ref="A1:L28"/>
  <sheetViews>
    <sheetView showGridLines="0" tabSelected="1" zoomScale="115" zoomScaleNormal="115" workbookViewId="0">
      <selection activeCell="L9" sqref="L9"/>
    </sheetView>
  </sheetViews>
  <sheetFormatPr baseColWidth="10" defaultColWidth="8.85546875" defaultRowHeight="15" outlineLevelCol="1" x14ac:dyDescent="0.25"/>
  <cols>
    <col min="1" max="1" width="18.5703125" customWidth="1"/>
    <col min="2" max="2" width="14" customWidth="1" outlineLevel="1"/>
    <col min="3" max="3" width="17.42578125" customWidth="1" outlineLevel="1"/>
    <col min="4" max="4" width="14.5703125" customWidth="1"/>
    <col min="5" max="5" width="17.7109375" customWidth="1"/>
    <col min="6" max="7" width="15.7109375" bestFit="1" customWidth="1"/>
    <col min="8" max="8" width="13.5703125" customWidth="1"/>
    <col min="9" max="9" width="10.85546875" customWidth="1"/>
    <col min="12" max="12" width="12.42578125" bestFit="1" customWidth="1"/>
  </cols>
  <sheetData>
    <row r="1" spans="1:12" ht="28.5" x14ac:dyDescent="0.45">
      <c r="A1" s="8" t="s">
        <v>64</v>
      </c>
    </row>
    <row r="2" spans="1:12" ht="15.75" x14ac:dyDescent="0.25">
      <c r="A2" s="45" t="s">
        <v>62</v>
      </c>
    </row>
    <row r="3" spans="1:12" x14ac:dyDescent="0.25">
      <c r="A3" s="43" t="s">
        <v>45</v>
      </c>
      <c r="B3" s="60">
        <v>1000</v>
      </c>
    </row>
    <row r="4" spans="1:12" x14ac:dyDescent="0.25">
      <c r="A4" s="43" t="s">
        <v>46</v>
      </c>
      <c r="B4" s="61">
        <v>6.6250000000000003E-2</v>
      </c>
    </row>
    <row r="5" spans="1:12" x14ac:dyDescent="0.25">
      <c r="A5" s="43" t="s">
        <v>47</v>
      </c>
      <c r="B5" s="27" t="s">
        <v>65</v>
      </c>
    </row>
    <row r="6" spans="1:12" x14ac:dyDescent="0.25">
      <c r="A6" s="43" t="s">
        <v>48</v>
      </c>
      <c r="B6" s="63">
        <v>48960</v>
      </c>
    </row>
    <row r="7" spans="1:12" x14ac:dyDescent="0.25">
      <c r="A7" s="43" t="s">
        <v>49</v>
      </c>
      <c r="B7" s="62">
        <v>0.17423538064437719</v>
      </c>
      <c r="D7" s="50"/>
    </row>
    <row r="8" spans="1:12" x14ac:dyDescent="0.25">
      <c r="A8" s="43" t="s">
        <v>50</v>
      </c>
      <c r="B8" s="44" t="s">
        <v>4</v>
      </c>
    </row>
    <row r="9" spans="1:12" ht="10.9" customHeight="1" x14ac:dyDescent="0.45">
      <c r="A9" s="8"/>
    </row>
    <row r="10" spans="1:12" ht="21" x14ac:dyDescent="0.35">
      <c r="A10" s="9" t="s">
        <v>9</v>
      </c>
    </row>
    <row r="11" spans="1:12" x14ac:dyDescent="0.25">
      <c r="A11" s="41" t="s">
        <v>10</v>
      </c>
      <c r="B11" s="41" t="s">
        <v>11</v>
      </c>
      <c r="C11" s="41" t="s">
        <v>13</v>
      </c>
      <c r="D11" s="41" t="s">
        <v>12</v>
      </c>
      <c r="E11" s="42" t="s">
        <v>14</v>
      </c>
      <c r="F11" s="42" t="s">
        <v>51</v>
      </c>
      <c r="G11" s="42" t="s">
        <v>69</v>
      </c>
    </row>
    <row r="12" spans="1:12" x14ac:dyDescent="0.25">
      <c r="A12" t="s">
        <v>44</v>
      </c>
      <c r="B12" s="10">
        <f>I18</f>
        <v>529.64616696483745</v>
      </c>
      <c r="C12" s="51">
        <v>1000</v>
      </c>
      <c r="D12" s="11">
        <f>B12*C12</f>
        <v>529646.16696483747</v>
      </c>
      <c r="E12" s="28" t="s">
        <v>4</v>
      </c>
      <c r="F12" s="1">
        <v>2</v>
      </c>
      <c r="G12" s="12">
        <f>L28*C12</f>
        <v>28603.782914949548</v>
      </c>
    </row>
    <row r="13" spans="1:12" x14ac:dyDescent="0.25">
      <c r="G13" s="33">
        <f>G12/D12</f>
        <v>5.4005456282002165E-2</v>
      </c>
    </row>
    <row r="14" spans="1:12" x14ac:dyDescent="0.25">
      <c r="B14" s="13"/>
      <c r="D14" s="14"/>
      <c r="E14" s="49"/>
    </row>
    <row r="15" spans="1:12" ht="21" x14ac:dyDescent="0.35">
      <c r="A15" s="9" t="s">
        <v>58</v>
      </c>
    </row>
    <row r="16" spans="1:12" ht="30" x14ac:dyDescent="0.25">
      <c r="E16" s="59"/>
      <c r="F16" s="58" t="s">
        <v>78</v>
      </c>
      <c r="L16" s="2" t="s">
        <v>77</v>
      </c>
    </row>
    <row r="17" spans="1:12" ht="18" x14ac:dyDescent="0.35">
      <c r="A17" s="37" t="s">
        <v>10</v>
      </c>
      <c r="B17" s="38" t="s">
        <v>15</v>
      </c>
      <c r="C17" s="37" t="s">
        <v>16</v>
      </c>
      <c r="D17" s="39" t="s">
        <v>17</v>
      </c>
      <c r="E17" s="39" t="s">
        <v>52</v>
      </c>
      <c r="F17" s="39" t="s">
        <v>18</v>
      </c>
      <c r="G17" s="39" t="s">
        <v>19</v>
      </c>
      <c r="H17" s="39" t="s">
        <v>20</v>
      </c>
      <c r="I17" s="39" t="s">
        <v>70</v>
      </c>
      <c r="J17" s="39" t="s">
        <v>21</v>
      </c>
      <c r="K17" s="37" t="s">
        <v>71</v>
      </c>
      <c r="L17" s="40" t="s">
        <v>57</v>
      </c>
    </row>
    <row r="18" spans="1:12" x14ac:dyDescent="0.25">
      <c r="A18" t="s">
        <v>44</v>
      </c>
      <c r="B18" s="13">
        <v>46038</v>
      </c>
      <c r="C18" s="13">
        <v>45736</v>
      </c>
      <c r="D18" s="57">
        <f>B18-C18</f>
        <v>302</v>
      </c>
      <c r="E18" s="36">
        <f>B3*B4</f>
        <v>66.25</v>
      </c>
      <c r="F18" s="35">
        <f>E18/(1+B7)^(D18/306)</f>
        <v>56.538274871798372</v>
      </c>
      <c r="G18" s="36" cm="1">
        <f t="array" ref="G18">Interpolacion(D18,PD!$AA$7:$AD$17)</f>
        <v>6.516456814667549E-3</v>
      </c>
      <c r="H18" s="35">
        <f>1-G18</f>
        <v>0.9934835431853325</v>
      </c>
      <c r="I18" s="35">
        <f>SUM(F18:F26)</f>
        <v>529.64616696483745</v>
      </c>
      <c r="J18" s="36">
        <f>1-H18</f>
        <v>6.5164568146675039E-3</v>
      </c>
      <c r="K18" s="30">
        <f>LGD!$C$28</f>
        <v>0.6</v>
      </c>
      <c r="L18" s="35">
        <f t="shared" ref="L18:L26" si="0">I18*J18*K18</f>
        <v>2.0708498244483224</v>
      </c>
    </row>
    <row r="19" spans="1:12" x14ac:dyDescent="0.25">
      <c r="A19" t="s">
        <v>44</v>
      </c>
      <c r="B19" s="13">
        <v>46403</v>
      </c>
      <c r="C19" s="13">
        <v>45736</v>
      </c>
      <c r="D19" s="57">
        <f t="shared" ref="D19:D25" si="1">B19-C19</f>
        <v>667</v>
      </c>
      <c r="E19" s="36">
        <f>B3*B4</f>
        <v>66.25</v>
      </c>
      <c r="F19" s="35">
        <f>E19/(1+B7)^(D19/306)</f>
        <v>46.680754439792103</v>
      </c>
      <c r="G19" s="36" cm="1">
        <f t="array" ref="G19">Interpolacion(D19,PD!$AA$7:$AD$17)</f>
        <v>1.5047438593290424E-2</v>
      </c>
      <c r="H19" s="35">
        <f t="shared" ref="H19:H26" si="2">1-G19</f>
        <v>0.98495256140670961</v>
      </c>
      <c r="I19" s="35">
        <f>SUM(F19:F26)</f>
        <v>473.10789209303914</v>
      </c>
      <c r="J19" s="35">
        <f t="shared" ref="J19:J26" si="3">H18-H19</f>
        <v>8.5309817786228814E-3</v>
      </c>
      <c r="K19" s="30">
        <f>LGD!$C$28</f>
        <v>0.6</v>
      </c>
      <c r="L19" s="35">
        <f t="shared" si="0"/>
        <v>2.4216448840610383</v>
      </c>
    </row>
    <row r="20" spans="1:12" x14ac:dyDescent="0.25">
      <c r="A20" t="s">
        <v>44</v>
      </c>
      <c r="B20" s="13">
        <v>46768</v>
      </c>
      <c r="C20" s="13">
        <v>45736</v>
      </c>
      <c r="D20" s="57">
        <f t="shared" si="1"/>
        <v>1032</v>
      </c>
      <c r="E20" s="36">
        <f>B3*B4</f>
        <v>66.25</v>
      </c>
      <c r="F20" s="35">
        <f>E20/(1+B7)^(D20/360)</f>
        <v>41.804312467917249</v>
      </c>
      <c r="G20" s="36" cm="1">
        <f t="array" ref="G20">Interpolacion(D20,PD!$AA$7:$AD$17)</f>
        <v>2.7874146618214347E-2</v>
      </c>
      <c r="H20" s="35">
        <f t="shared" si="2"/>
        <v>0.9721258533817857</v>
      </c>
      <c r="I20" s="35">
        <f>SUM(F20:F26)</f>
        <v>426.42713765324709</v>
      </c>
      <c r="J20" s="35">
        <f t="shared" si="3"/>
        <v>1.2826708024923916E-2</v>
      </c>
      <c r="K20" s="30">
        <f>LGD!$C$28</f>
        <v>0.6</v>
      </c>
      <c r="L20" s="35">
        <f t="shared" si="0"/>
        <v>3.2817938331493437</v>
      </c>
    </row>
    <row r="21" spans="1:12" x14ac:dyDescent="0.25">
      <c r="A21" t="s">
        <v>44</v>
      </c>
      <c r="B21" s="13">
        <v>47134</v>
      </c>
      <c r="C21" s="13">
        <v>45736</v>
      </c>
      <c r="D21" s="57">
        <f t="shared" si="1"/>
        <v>1398</v>
      </c>
      <c r="E21" s="36">
        <f>B3*B4</f>
        <v>66.25</v>
      </c>
      <c r="F21" s="35">
        <f>E21/(1+B7)^(D21/360)</f>
        <v>35.506129875953185</v>
      </c>
      <c r="G21" s="36" cm="1">
        <f t="array" ref="G21">Interpolacion(D21,PD!$AA$7:$AD$17)</f>
        <v>4.3399593318593666E-2</v>
      </c>
      <c r="H21" s="35">
        <f t="shared" si="2"/>
        <v>0.95660040668140633</v>
      </c>
      <c r="I21" s="35">
        <f>SUM(F21:F26)</f>
        <v>384.62282518532982</v>
      </c>
      <c r="J21" s="35">
        <f t="shared" si="3"/>
        <v>1.5525446700379364E-2</v>
      </c>
      <c r="K21" s="30">
        <f>LGD!$C$28</f>
        <v>0.6</v>
      </c>
      <c r="L21" s="35">
        <f t="shared" si="0"/>
        <v>3.5828647032985006</v>
      </c>
    </row>
    <row r="22" spans="1:12" x14ac:dyDescent="0.25">
      <c r="A22" t="s">
        <v>44</v>
      </c>
      <c r="B22" s="13">
        <v>47499</v>
      </c>
      <c r="C22" s="13">
        <v>45736</v>
      </c>
      <c r="D22" s="57">
        <f t="shared" si="1"/>
        <v>1763</v>
      </c>
      <c r="E22" s="36">
        <f>B3*B4</f>
        <v>66.25</v>
      </c>
      <c r="F22" s="35">
        <f>E22/(1+B7)^(D22/360)</f>
        <v>30.170280904611541</v>
      </c>
      <c r="G22" s="36" cm="1">
        <f t="array" ref="G22">Interpolacion(D22,PD!$AA$7:$AD$17)</f>
        <v>6.0903429553276808E-2</v>
      </c>
      <c r="H22" s="35">
        <f t="shared" si="2"/>
        <v>0.93909657044672323</v>
      </c>
      <c r="I22" s="35">
        <f>SUM(F22:F26)</f>
        <v>349.11669530937661</v>
      </c>
      <c r="J22" s="35">
        <f t="shared" si="3"/>
        <v>1.7503836234683101E-2</v>
      </c>
      <c r="K22" s="30">
        <f>LGD!$C$28</f>
        <v>0.6</v>
      </c>
      <c r="L22" s="35">
        <f t="shared" si="0"/>
        <v>3.6665288768934516</v>
      </c>
    </row>
    <row r="23" spans="1:12" x14ac:dyDescent="0.25">
      <c r="A23" t="s">
        <v>44</v>
      </c>
      <c r="B23" s="13">
        <v>47864</v>
      </c>
      <c r="C23" s="13">
        <v>45736</v>
      </c>
      <c r="D23" s="57">
        <f t="shared" si="1"/>
        <v>2128</v>
      </c>
      <c r="E23" s="36">
        <f>B3*B4</f>
        <v>66.25</v>
      </c>
      <c r="F23" s="35">
        <f>E23/(1+B7)^(D23/360)</f>
        <v>25.636301479301444</v>
      </c>
      <c r="G23" s="36" cm="1">
        <f t="array" ref="G23">Interpolacion(D23,PD!$AA$7:$AD$17)</f>
        <v>7.9837072470299433E-2</v>
      </c>
      <c r="H23" s="35">
        <f t="shared" si="2"/>
        <v>0.92016292752970053</v>
      </c>
      <c r="I23" s="35">
        <f>SUM(F23:F26)</f>
        <v>318.94641440476511</v>
      </c>
      <c r="J23" s="35">
        <f t="shared" si="3"/>
        <v>1.8933642917022708E-2</v>
      </c>
      <c r="K23" s="30">
        <f>LGD!$C$28</f>
        <v>0.6</v>
      </c>
      <c r="L23" s="35">
        <f t="shared" si="0"/>
        <v>3.6232905120027419</v>
      </c>
    </row>
    <row r="24" spans="1:12" x14ac:dyDescent="0.25">
      <c r="A24" t="s">
        <v>44</v>
      </c>
      <c r="B24" s="13">
        <v>48229</v>
      </c>
      <c r="C24" s="13">
        <v>45736</v>
      </c>
      <c r="D24" s="57">
        <f t="shared" si="1"/>
        <v>2493</v>
      </c>
      <c r="E24" s="36">
        <f>B3*B4</f>
        <v>66.25</v>
      </c>
      <c r="F24" s="35">
        <f>E24/(1+B7)^(D24/360)</f>
        <v>21.783686920766357</v>
      </c>
      <c r="G24" s="36" cm="1">
        <f t="array" ref="G24">Interpolacion(D24,PD!$AA$7:$AD$17)</f>
        <v>9.9704014410243721E-2</v>
      </c>
      <c r="H24" s="35">
        <f t="shared" si="2"/>
        <v>0.90029598558975632</v>
      </c>
      <c r="I24" s="35">
        <f>SUM(F24:F26)</f>
        <v>293.31011292546367</v>
      </c>
      <c r="J24" s="35">
        <f t="shared" si="3"/>
        <v>1.9866941939944205E-2</v>
      </c>
      <c r="K24" s="30">
        <f>LGD!$C$28</f>
        <v>0.6</v>
      </c>
      <c r="L24" s="35">
        <f t="shared" si="0"/>
        <v>3.4963049903331989</v>
      </c>
    </row>
    <row r="25" spans="1:12" x14ac:dyDescent="0.25">
      <c r="A25" t="s">
        <v>44</v>
      </c>
      <c r="B25" s="13">
        <v>48595</v>
      </c>
      <c r="C25" s="13">
        <v>45736</v>
      </c>
      <c r="D25" s="57">
        <f t="shared" si="1"/>
        <v>2859</v>
      </c>
      <c r="E25" s="36">
        <f>B3*B4</f>
        <v>66.25</v>
      </c>
      <c r="F25" s="35">
        <f>E25/(1+B7)^(D25/360)</f>
        <v>18.501785373923351</v>
      </c>
      <c r="G25" s="36" cm="1">
        <f t="array" ref="G25">Interpolacion(D25,PD!$AA$7:$AD$17)</f>
        <v>0.12015643992615692</v>
      </c>
      <c r="H25" s="35">
        <f t="shared" si="2"/>
        <v>0.87984356007384312</v>
      </c>
      <c r="I25" s="35">
        <f>SUM(F25:F26)</f>
        <v>271.52642600469727</v>
      </c>
      <c r="J25" s="35">
        <f t="shared" si="3"/>
        <v>2.0452425515913197E-2</v>
      </c>
      <c r="K25" s="30">
        <f>LGD!$C$28</f>
        <v>0.6</v>
      </c>
      <c r="L25" s="35">
        <f t="shared" si="0"/>
        <v>3.332024402077912</v>
      </c>
    </row>
    <row r="26" spans="1:12" x14ac:dyDescent="0.25">
      <c r="A26" t="s">
        <v>44</v>
      </c>
      <c r="B26" s="13">
        <v>48960</v>
      </c>
      <c r="C26" s="13">
        <v>45736</v>
      </c>
      <c r="D26" s="57">
        <f>B26-C26</f>
        <v>3224</v>
      </c>
      <c r="E26" s="36">
        <f>(B3*B4)+B3</f>
        <v>1066.25</v>
      </c>
      <c r="F26" s="35">
        <f>E26/(1+B7)^(D26/360)</f>
        <v>253.02464063077394</v>
      </c>
      <c r="G26" s="36" cm="1">
        <f t="array" ref="G26">Interpolacion(D26,PD!$AA$7:$AD$17)</f>
        <v>0.14076366142631022</v>
      </c>
      <c r="H26" s="35">
        <f t="shared" si="2"/>
        <v>0.85923633857368975</v>
      </c>
      <c r="I26" s="35">
        <f>SUM(F26)</f>
        <v>253.02464063077394</v>
      </c>
      <c r="J26" s="35">
        <f t="shared" si="3"/>
        <v>2.0607221500153372E-2</v>
      </c>
      <c r="K26" s="30">
        <f>LGD!$C$28</f>
        <v>0.6</v>
      </c>
      <c r="L26" s="35">
        <f t="shared" si="0"/>
        <v>3.1284808886850395</v>
      </c>
    </row>
    <row r="27" spans="1:12" x14ac:dyDescent="0.25">
      <c r="H27" s="10"/>
      <c r="I27" s="48"/>
      <c r="J27" s="10"/>
      <c r="K27" s="30"/>
      <c r="L27" s="31"/>
    </row>
    <row r="28" spans="1:12" ht="18.75" x14ac:dyDescent="0.3">
      <c r="A28" s="15"/>
      <c r="K28" s="46" t="s">
        <v>63</v>
      </c>
      <c r="L28" s="32">
        <f>SUM(L18:L26)</f>
        <v>28.603782914949548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PD</vt:lpstr>
      <vt:lpstr>LGD</vt:lpstr>
      <vt:lpstr>Reserva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Torres Ferrer Luis Noe</dc:creator>
  <cp:lastModifiedBy>Luis Noe Torres Ferrer</cp:lastModifiedBy>
  <dcterms:created xsi:type="dcterms:W3CDTF">2021-10-28T16:39:50Z</dcterms:created>
  <dcterms:modified xsi:type="dcterms:W3CDTF">2025-05-26T03:24:45Z</dcterms:modified>
</cp:coreProperties>
</file>