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uist\OneDrive\Escritorio\Actuaria Acatlan\Administracion De Riesgos\"/>
    </mc:Choice>
  </mc:AlternateContent>
  <xr:revisionPtr revIDLastSave="0" documentId="13_ncr:1_{C6A68AC8-BDEE-40C6-B74B-2C77BB61548F}" xr6:coauthVersionLast="47" xr6:coauthVersionMax="47" xr10:uidLastSave="{00000000-0000-0000-0000-000000000000}"/>
  <bookViews>
    <workbookView xWindow="-120" yWindow="-120" windowWidth="29040" windowHeight="15720" xr2:uid="{8CAC9303-87F7-4AC2-A03D-6420B1F0DC47}"/>
  </bookViews>
  <sheets>
    <sheet name="Pagos Constantes" sheetId="1" r:id="rId1"/>
    <sheet name="Pagos Decrecientes" sheetId="2" r:id="rId2"/>
    <sheet name="Bullet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9" i="3" l="1"/>
  <c r="G32" i="3"/>
  <c r="G31" i="3"/>
  <c r="D32" i="3"/>
  <c r="E32" i="3"/>
  <c r="G7" i="1"/>
  <c r="G10" i="1"/>
  <c r="E34" i="3" l="1"/>
  <c r="E9" i="3"/>
  <c r="G33" i="2"/>
  <c r="G33" i="1"/>
  <c r="D33" i="2"/>
  <c r="F10" i="2"/>
  <c r="D10" i="2"/>
  <c r="F33" i="1"/>
  <c r="B33" i="1"/>
  <c r="G11" i="1"/>
  <c r="F11" i="1"/>
  <c r="E11" i="1"/>
  <c r="F10" i="1"/>
  <c r="E10" i="1"/>
  <c r="C10" i="1"/>
  <c r="C6" i="1"/>
  <c r="B6" i="2" l="1"/>
  <c r="B10" i="3"/>
  <c r="E10" i="3" s="1"/>
  <c r="D10" i="3" s="1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G9" i="3"/>
  <c r="C9" i="3"/>
  <c r="B9" i="3"/>
  <c r="B11" i="2"/>
  <c r="B10" i="2"/>
  <c r="E10" i="2" s="1"/>
  <c r="C11" i="2"/>
  <c r="E11" i="2" s="1"/>
  <c r="D11" i="2" s="1"/>
  <c r="F11" i="2"/>
  <c r="G11" i="2" s="1"/>
  <c r="B12" i="2" s="1"/>
  <c r="C12" i="2"/>
  <c r="F12" i="2"/>
  <c r="C13" i="2"/>
  <c r="F13" i="2"/>
  <c r="C14" i="2"/>
  <c r="F14" i="2"/>
  <c r="C15" i="2"/>
  <c r="F15" i="2"/>
  <c r="C16" i="2"/>
  <c r="F16" i="2"/>
  <c r="C17" i="2"/>
  <c r="F17" i="2"/>
  <c r="C18" i="2"/>
  <c r="F18" i="2"/>
  <c r="C19" i="2"/>
  <c r="F19" i="2"/>
  <c r="C20" i="2"/>
  <c r="F20" i="2"/>
  <c r="C21" i="2"/>
  <c r="F21" i="2"/>
  <c r="C22" i="2"/>
  <c r="F22" i="2"/>
  <c r="C23" i="2"/>
  <c r="F23" i="2"/>
  <c r="C24" i="2"/>
  <c r="F24" i="2"/>
  <c r="C25" i="2"/>
  <c r="F25" i="2"/>
  <c r="C26" i="2"/>
  <c r="F26" i="2"/>
  <c r="C27" i="2"/>
  <c r="F27" i="2"/>
  <c r="C28" i="2"/>
  <c r="F28" i="2"/>
  <c r="C29" i="2"/>
  <c r="F29" i="2"/>
  <c r="C30" i="2"/>
  <c r="F30" i="2"/>
  <c r="C31" i="2"/>
  <c r="F31" i="2"/>
  <c r="C32" i="2"/>
  <c r="F32" i="2"/>
  <c r="C33" i="2"/>
  <c r="F33" i="2"/>
  <c r="G10" i="2"/>
  <c r="C10" i="2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B6" i="1"/>
  <c r="D10" i="1" s="1"/>
  <c r="G9" i="1"/>
  <c r="B10" i="1" s="1"/>
  <c r="A10" i="3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11" i="2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D11" i="1" l="1"/>
  <c r="B11" i="1"/>
  <c r="B12" i="1" s="1"/>
  <c r="E12" i="1" s="1"/>
  <c r="D17" i="1"/>
  <c r="D28" i="1"/>
  <c r="D21" i="1"/>
  <c r="D15" i="1"/>
  <c r="D16" i="1"/>
  <c r="D14" i="1"/>
  <c r="D29" i="1"/>
  <c r="D22" i="1"/>
  <c r="D33" i="1"/>
  <c r="D27" i="1"/>
  <c r="D32" i="1"/>
  <c r="D26" i="1"/>
  <c r="D20" i="1"/>
  <c r="D25" i="1"/>
  <c r="D13" i="1"/>
  <c r="D23" i="1"/>
  <c r="D31" i="1"/>
  <c r="D19" i="1"/>
  <c r="D30" i="1"/>
  <c r="D24" i="1"/>
  <c r="D18" i="1"/>
  <c r="D12" i="1"/>
  <c r="G10" i="3"/>
  <c r="B11" i="3" s="1"/>
  <c r="E12" i="2"/>
  <c r="D12" i="2" s="1"/>
  <c r="G12" i="2"/>
  <c r="B13" i="2" s="1"/>
  <c r="G13" i="2"/>
  <c r="B14" i="2" s="1"/>
  <c r="E13" i="2"/>
  <c r="D13" i="2" s="1"/>
  <c r="A11" i="1"/>
  <c r="A12" i="1" s="1"/>
  <c r="A13" i="1" s="1"/>
  <c r="A14" i="1" s="1"/>
  <c r="A15" i="1" s="1"/>
  <c r="A16" i="1" s="1"/>
  <c r="A17" i="1" s="1"/>
  <c r="A18" i="1" s="1"/>
  <c r="A19" i="1" s="1"/>
  <c r="A20" i="1" s="1"/>
  <c r="F12" i="1" l="1"/>
  <c r="G12" i="1" s="1"/>
  <c r="E11" i="3"/>
  <c r="D11" i="3" s="1"/>
  <c r="G11" i="3"/>
  <c r="B12" i="3" s="1"/>
  <c r="E14" i="2"/>
  <c r="D14" i="2" s="1"/>
  <c r="G14" i="2"/>
  <c r="B15" i="2" s="1"/>
  <c r="B13" i="1"/>
  <c r="E13" i="1" s="1"/>
  <c r="F13" i="1" s="1"/>
  <c r="G13" i="1" s="1"/>
  <c r="A21" i="1"/>
  <c r="A22" i="1" s="1"/>
  <c r="A23" i="1" s="1"/>
  <c r="A24" i="1" s="1"/>
  <c r="A25" i="1" s="1"/>
  <c r="A26" i="1" s="1"/>
  <c r="A27" i="1" s="1"/>
  <c r="E12" i="3" l="1"/>
  <c r="D12" i="3" s="1"/>
  <c r="G12" i="3"/>
  <c r="B13" i="3" s="1"/>
  <c r="E15" i="2"/>
  <c r="D15" i="2" s="1"/>
  <c r="G15" i="2"/>
  <c r="B16" i="2" s="1"/>
  <c r="B14" i="1"/>
  <c r="E14" i="1" s="1"/>
  <c r="F14" i="1" s="1"/>
  <c r="G14" i="1"/>
  <c r="A28" i="1"/>
  <c r="E13" i="3" l="1"/>
  <c r="D13" i="3" s="1"/>
  <c r="G13" i="3"/>
  <c r="B14" i="3" s="1"/>
  <c r="G16" i="2"/>
  <c r="B17" i="2" s="1"/>
  <c r="E16" i="2"/>
  <c r="D16" i="2" s="1"/>
  <c r="B15" i="1"/>
  <c r="E15" i="1" s="1"/>
  <c r="F15" i="1" s="1"/>
  <c r="G15" i="1" s="1"/>
  <c r="A29" i="1"/>
  <c r="E14" i="3" l="1"/>
  <c r="D14" i="3" s="1"/>
  <c r="G14" i="3"/>
  <c r="B15" i="3" s="1"/>
  <c r="G17" i="2"/>
  <c r="B18" i="2" s="1"/>
  <c r="E17" i="2"/>
  <c r="D17" i="2" s="1"/>
  <c r="B16" i="1"/>
  <c r="E16" i="1" s="1"/>
  <c r="F16" i="1" s="1"/>
  <c r="G16" i="1" s="1"/>
  <c r="A30" i="1"/>
  <c r="E15" i="3" l="1"/>
  <c r="D15" i="3" s="1"/>
  <c r="G15" i="3"/>
  <c r="B16" i="3" s="1"/>
  <c r="G18" i="2"/>
  <c r="B19" i="2" s="1"/>
  <c r="E18" i="2"/>
  <c r="D18" i="2" s="1"/>
  <c r="B17" i="1"/>
  <c r="E17" i="1" s="1"/>
  <c r="F17" i="1" s="1"/>
  <c r="G17" i="1" s="1"/>
  <c r="A31" i="1"/>
  <c r="G16" i="3" l="1"/>
  <c r="B17" i="3" s="1"/>
  <c r="E16" i="3"/>
  <c r="D16" i="3" s="1"/>
  <c r="E19" i="2"/>
  <c r="D19" i="2" s="1"/>
  <c r="G19" i="2"/>
  <c r="B20" i="2" s="1"/>
  <c r="B18" i="1"/>
  <c r="E18" i="1" s="1"/>
  <c r="F18" i="1" s="1"/>
  <c r="G18" i="1" s="1"/>
  <c r="A32" i="1"/>
  <c r="E17" i="3" l="1"/>
  <c r="D17" i="3" s="1"/>
  <c r="G17" i="3"/>
  <c r="B18" i="3" s="1"/>
  <c r="G20" i="2"/>
  <c r="B21" i="2" s="1"/>
  <c r="E20" i="2"/>
  <c r="D20" i="2" s="1"/>
  <c r="B19" i="1"/>
  <c r="E19" i="1" s="1"/>
  <c r="F19" i="1" s="1"/>
  <c r="G19" i="1" s="1"/>
  <c r="A33" i="1"/>
  <c r="E18" i="3" l="1"/>
  <c r="D18" i="3" s="1"/>
  <c r="G18" i="3"/>
  <c r="B19" i="3" s="1"/>
  <c r="E21" i="2"/>
  <c r="D21" i="2" s="1"/>
  <c r="G21" i="2"/>
  <c r="B22" i="2" s="1"/>
  <c r="B20" i="1"/>
  <c r="E20" i="1" s="1"/>
  <c r="F20" i="1" s="1"/>
  <c r="G20" i="1" s="1"/>
  <c r="G19" i="3" l="1"/>
  <c r="B20" i="3" s="1"/>
  <c r="E19" i="3"/>
  <c r="D19" i="3" s="1"/>
  <c r="E22" i="2"/>
  <c r="D22" i="2" s="1"/>
  <c r="G22" i="2"/>
  <c r="B23" i="2" s="1"/>
  <c r="B21" i="1"/>
  <c r="E21" i="1" s="1"/>
  <c r="F21" i="1" s="1"/>
  <c r="G21" i="1" s="1"/>
  <c r="E20" i="3" l="1"/>
  <c r="D20" i="3" s="1"/>
  <c r="G20" i="3"/>
  <c r="B21" i="3" s="1"/>
  <c r="G23" i="2"/>
  <c r="B24" i="2" s="1"/>
  <c r="E23" i="2"/>
  <c r="D23" i="2" s="1"/>
  <c r="B22" i="1"/>
  <c r="E22" i="1" s="1"/>
  <c r="F22" i="1" s="1"/>
  <c r="G22" i="1"/>
  <c r="E21" i="3" l="1"/>
  <c r="D21" i="3" s="1"/>
  <c r="G21" i="3"/>
  <c r="B22" i="3" s="1"/>
  <c r="E24" i="2"/>
  <c r="D24" i="2" s="1"/>
  <c r="G24" i="2"/>
  <c r="B25" i="2" s="1"/>
  <c r="B23" i="1"/>
  <c r="E23" i="1" s="1"/>
  <c r="F23" i="1" s="1"/>
  <c r="G23" i="1" s="1"/>
  <c r="E22" i="3" l="1"/>
  <c r="D22" i="3" s="1"/>
  <c r="G22" i="3"/>
  <c r="B23" i="3" s="1"/>
  <c r="E25" i="2"/>
  <c r="D25" i="2" s="1"/>
  <c r="G25" i="2"/>
  <c r="B26" i="2" s="1"/>
  <c r="B24" i="1"/>
  <c r="E24" i="1" s="1"/>
  <c r="F24" i="1" s="1"/>
  <c r="G24" i="1" s="1"/>
  <c r="E23" i="3" l="1"/>
  <c r="D23" i="3" s="1"/>
  <c r="G23" i="3"/>
  <c r="B24" i="3" s="1"/>
  <c r="G26" i="2"/>
  <c r="B27" i="2" s="1"/>
  <c r="E26" i="2"/>
  <c r="D26" i="2" s="1"/>
  <c r="B25" i="1"/>
  <c r="E25" i="1" s="1"/>
  <c r="F25" i="1" s="1"/>
  <c r="G25" i="1" s="1"/>
  <c r="E24" i="3" l="1"/>
  <c r="D24" i="3" s="1"/>
  <c r="G24" i="3"/>
  <c r="B25" i="3" s="1"/>
  <c r="E27" i="2"/>
  <c r="D27" i="2" s="1"/>
  <c r="G27" i="2"/>
  <c r="B28" i="2" s="1"/>
  <c r="B26" i="1"/>
  <c r="E26" i="1" s="1"/>
  <c r="F26" i="1" s="1"/>
  <c r="G26" i="1" s="1"/>
  <c r="E25" i="3" l="1"/>
  <c r="D25" i="3" s="1"/>
  <c r="G25" i="3"/>
  <c r="B26" i="3" s="1"/>
  <c r="E28" i="2"/>
  <c r="D28" i="2" s="1"/>
  <c r="G28" i="2"/>
  <c r="B29" i="2" s="1"/>
  <c r="B27" i="1"/>
  <c r="E27" i="1" s="1"/>
  <c r="F27" i="1" s="1"/>
  <c r="G27" i="1" s="1"/>
  <c r="E26" i="3" l="1"/>
  <c r="D26" i="3" s="1"/>
  <c r="G26" i="3"/>
  <c r="B27" i="3" s="1"/>
  <c r="G29" i="2"/>
  <c r="B30" i="2" s="1"/>
  <c r="E29" i="2"/>
  <c r="D29" i="2" s="1"/>
  <c r="B28" i="1"/>
  <c r="E28" i="1" s="1"/>
  <c r="F28" i="1" s="1"/>
  <c r="G28" i="1" s="1"/>
  <c r="E27" i="3" l="1"/>
  <c r="D27" i="3" s="1"/>
  <c r="G27" i="3"/>
  <c r="B28" i="3" s="1"/>
  <c r="G30" i="2"/>
  <c r="B31" i="2" s="1"/>
  <c r="E30" i="2"/>
  <c r="D30" i="2" s="1"/>
  <c r="B29" i="1"/>
  <c r="E29" i="1" s="1"/>
  <c r="F29" i="1" s="1"/>
  <c r="G29" i="1" s="1"/>
  <c r="G28" i="3" l="1"/>
  <c r="B29" i="3" s="1"/>
  <c r="E28" i="3"/>
  <c r="D28" i="3" s="1"/>
  <c r="G31" i="2"/>
  <c r="B32" i="2" s="1"/>
  <c r="E31" i="2"/>
  <c r="D31" i="2" s="1"/>
  <c r="B30" i="1"/>
  <c r="E30" i="1" s="1"/>
  <c r="F30" i="1" s="1"/>
  <c r="G30" i="1" s="1"/>
  <c r="E29" i="3" l="1"/>
  <c r="D29" i="3" s="1"/>
  <c r="G29" i="3"/>
  <c r="B30" i="3" s="1"/>
  <c r="G32" i="2"/>
  <c r="B33" i="2" s="1"/>
  <c r="E32" i="2"/>
  <c r="D32" i="2" s="1"/>
  <c r="B31" i="1"/>
  <c r="E31" i="1" s="1"/>
  <c r="F31" i="1" s="1"/>
  <c r="G31" i="1" s="1"/>
  <c r="E30" i="3" l="1"/>
  <c r="D30" i="3" s="1"/>
  <c r="G30" i="3"/>
  <c r="B31" i="3" s="1"/>
  <c r="E33" i="2"/>
  <c r="B32" i="1"/>
  <c r="E32" i="1" s="1"/>
  <c r="F32" i="1" s="1"/>
  <c r="G32" i="1"/>
  <c r="B32" i="3" l="1"/>
  <c r="E31" i="3"/>
  <c r="D31" i="3" s="1"/>
  <c r="E33" i="1"/>
</calcChain>
</file>

<file path=xl/sharedStrings.xml><?xml version="1.0" encoding="utf-8"?>
<sst xmlns="http://schemas.openxmlformats.org/spreadsheetml/2006/main" count="45" uniqueCount="18">
  <si>
    <t>Línea de 
Crédito</t>
  </si>
  <si>
    <t>Tasa del 
Crédito (Anual)</t>
  </si>
  <si>
    <t>Tiempo (n)</t>
  </si>
  <si>
    <t>meses</t>
  </si>
  <si>
    <t>Tiempo</t>
  </si>
  <si>
    <t>SI Inicio</t>
  </si>
  <si>
    <t>Tasa</t>
  </si>
  <si>
    <t>Pago = Cap + Int</t>
  </si>
  <si>
    <t>Int.</t>
  </si>
  <si>
    <t>Pago a Capital</t>
  </si>
  <si>
    <t>SI Final</t>
  </si>
  <si>
    <t>Tabla de Amortización - Crédito con Pagos Constantes</t>
  </si>
  <si>
    <t>Pago =</t>
  </si>
  <si>
    <t>Tabla de Amortización - Crédito con Pagos Decrecientes</t>
  </si>
  <si>
    <t>Tabla de Amortización - Crédito Bullet</t>
  </si>
  <si>
    <t>Amortizacion</t>
  </si>
  <si>
    <t xml:space="preserve">Pago </t>
  </si>
  <si>
    <t>fijo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</si>
</sst>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3" formatCode="_-* #,##0.00_-;\-* #,##0.00_-;_-* &quot;-&quot;??_-;_-@_-"/>
    <numFmt numFmtId="164" formatCode="#,##0.00\ &quot;€&quot;;[Red]\-#,##0.00\ &quot;€&quot;"/>
    <numFmt numFmtId="165" formatCode="0.0%"/>
    <numFmt numFmtId="166" formatCode="_-* #,##0.00\ _€_-;\-* #,##0.00\ _€_-;_-* &quot;-&quot;??\ _€_-;_-@_-"/>
  </numFmts>
  <fonts count="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EYInterstate Light"/>
    </font>
    <font>
      <b/>
      <i/>
      <sz val="18"/>
      <color theme="1"/>
      <name val="EYInterstate Light"/>
    </font>
    <font>
      <b/>
      <i/>
      <sz val="11"/>
      <color rgb="FFFF000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theme="9" tint="-0.49998474074526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5">
    <xf numFmtId="0" fontId="0" fillId="0" borderId="0" xfId="0"/>
    <xf numFmtId="0" fontId="4" fillId="0" borderId="0" xfId="0" applyFont="1"/>
    <xf numFmtId="0" fontId="3" fillId="0" borderId="0" xfId="0" applyFont="1" applyAlignment="1">
      <alignment wrapText="1"/>
    </xf>
    <xf numFmtId="43" fontId="0" fillId="0" borderId="0" xfId="1" applyFont="1" applyAlignment="1">
      <alignment vertical="center"/>
    </xf>
    <xf numFmtId="9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43" fontId="0" fillId="0" borderId="0" xfId="0" applyNumberFormat="1"/>
    <xf numFmtId="0" fontId="2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43" fontId="0" fillId="0" borderId="1" xfId="1" applyFont="1" applyBorder="1"/>
    <xf numFmtId="165" fontId="0" fillId="0" borderId="1" xfId="2" applyNumberFormat="1" applyFont="1" applyBorder="1" applyAlignment="1">
      <alignment horizontal="center"/>
    </xf>
    <xf numFmtId="43" fontId="0" fillId="0" borderId="1" xfId="0" applyNumberFormat="1" applyBorder="1"/>
    <xf numFmtId="43" fontId="0" fillId="0" borderId="0" xfId="1" applyFont="1"/>
    <xf numFmtId="0" fontId="3" fillId="0" borderId="0" xfId="0" applyFont="1"/>
    <xf numFmtId="164" fontId="0" fillId="0" borderId="1" xfId="1" applyNumberFormat="1" applyFont="1" applyBorder="1"/>
    <xf numFmtId="164" fontId="0" fillId="0" borderId="1" xfId="0" applyNumberFormat="1" applyBorder="1"/>
    <xf numFmtId="0" fontId="0" fillId="0" borderId="0" xfId="0" applyAlignment="1">
      <alignment horizontal="center" vertical="center"/>
    </xf>
    <xf numFmtId="166" fontId="0" fillId="0" borderId="0" xfId="0" applyNumberFormat="1" applyAlignment="1">
      <alignment horizontal="center"/>
    </xf>
    <xf numFmtId="43" fontId="0" fillId="0" borderId="0" xfId="0" applyNumberFormat="1" applyAlignment="1">
      <alignment horizontal="center"/>
    </xf>
    <xf numFmtId="0" fontId="0" fillId="3" borderId="0" xfId="0" applyFill="1" applyAlignment="1">
      <alignment horizontal="center"/>
    </xf>
    <xf numFmtId="43" fontId="6" fillId="3" borderId="0" xfId="1" applyFont="1" applyFill="1" applyAlignment="1">
      <alignment vertical="center"/>
    </xf>
    <xf numFmtId="9" fontId="7" fillId="3" borderId="0" xfId="0" applyNumberFormat="1" applyFont="1" applyFill="1" applyAlignment="1">
      <alignment horizontal="center" vertical="center"/>
    </xf>
    <xf numFmtId="164" fontId="8" fillId="4" borderId="0" xfId="1" applyNumberFormat="1" applyFont="1" applyFill="1" applyAlignment="1">
      <alignment horizont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wrapText="1"/>
    </xf>
  </cellXfs>
  <cellStyles count="3">
    <cellStyle name="Millares" xfId="1" builtinId="3"/>
    <cellStyle name="Normal" xfId="0" builtinId="0"/>
    <cellStyle name="Porcentaje" xfId="2" builtinId="5"/>
  </cellStyles>
  <dxfs count="0"/>
  <tableStyles count="1" defaultTableStyle="TableStyleMedium2" defaultPivotStyle="PivotStyleLight16">
    <tableStyle name="Invisible" pivot="0" table="0" count="0" xr9:uid="{6186197D-E437-485B-8613-63B34700E87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C1187-86D2-4045-9519-F410057D4059}">
  <sheetPr codeName="Hoja1"/>
  <dimension ref="A1:M33"/>
  <sheetViews>
    <sheetView showGridLines="0" tabSelected="1" zoomScale="130" zoomScaleNormal="130" workbookViewId="0">
      <selection activeCell="G8" sqref="G8"/>
    </sheetView>
  </sheetViews>
  <sheetFormatPr baseColWidth="10" defaultColWidth="8.85546875" defaultRowHeight="15"/>
  <cols>
    <col min="1" max="1" width="18.7109375" customWidth="1"/>
    <col min="2" max="2" width="14.140625" bestFit="1" customWidth="1"/>
    <col min="3" max="3" width="13.28515625" bestFit="1" customWidth="1"/>
    <col min="4" max="4" width="14.7109375" customWidth="1"/>
    <col min="5" max="5" width="11.28515625" bestFit="1" customWidth="1"/>
    <col min="6" max="6" width="12.5703125" bestFit="1" customWidth="1"/>
    <col min="7" max="7" width="15" bestFit="1" customWidth="1"/>
    <col min="9" max="9" width="12.85546875" bestFit="1" customWidth="1"/>
  </cols>
  <sheetData>
    <row r="1" spans="1:13" ht="23.25">
      <c r="A1" s="23" t="s">
        <v>11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</row>
    <row r="3" spans="1:13" ht="30" customHeight="1">
      <c r="A3" s="2" t="s">
        <v>0</v>
      </c>
      <c r="B3" s="20">
        <v>1000000</v>
      </c>
    </row>
    <row r="4" spans="1:13" ht="30">
      <c r="A4" s="2" t="s">
        <v>1</v>
      </c>
      <c r="B4" s="21">
        <v>0.12</v>
      </c>
    </row>
    <row r="5" spans="1:13">
      <c r="A5" s="13" t="s">
        <v>2</v>
      </c>
      <c r="B5" s="19">
        <v>24</v>
      </c>
      <c r="C5" s="5" t="s">
        <v>3</v>
      </c>
    </row>
    <row r="6" spans="1:13">
      <c r="A6" s="13" t="s">
        <v>12</v>
      </c>
      <c r="B6" s="22">
        <f>-PMT(B4/12,B5,B3,0,0)</f>
        <v>47073.472223264704</v>
      </c>
      <c r="C6" s="18">
        <f>B3/((1-(1+B4/12)^(-B5))/(B4/12))</f>
        <v>47073.472223264645</v>
      </c>
    </row>
    <row r="7" spans="1:13">
      <c r="B7" s="3"/>
      <c r="D7" s="5" t="s">
        <v>16</v>
      </c>
      <c r="F7" s="16" t="s">
        <v>15</v>
      </c>
      <c r="G7" s="6">
        <f>SUM(G9:G33)</f>
        <v>12976333.335835306</v>
      </c>
    </row>
    <row r="8" spans="1:13">
      <c r="A8" s="7" t="s">
        <v>4</v>
      </c>
      <c r="B8" s="7" t="s">
        <v>5</v>
      </c>
      <c r="C8" s="7" t="s">
        <v>6</v>
      </c>
      <c r="D8" s="7" t="s">
        <v>7</v>
      </c>
      <c r="E8" s="7" t="s">
        <v>8</v>
      </c>
      <c r="F8" s="7" t="s">
        <v>9</v>
      </c>
      <c r="G8" s="7" t="s">
        <v>10</v>
      </c>
    </row>
    <row r="9" spans="1:13">
      <c r="A9" s="8">
        <v>0</v>
      </c>
      <c r="B9" s="9"/>
      <c r="C9" s="10"/>
      <c r="D9" s="9"/>
      <c r="E9" s="9"/>
      <c r="F9" s="11"/>
      <c r="G9" s="11">
        <f>B3</f>
        <v>1000000</v>
      </c>
      <c r="I9" s="12"/>
      <c r="J9" s="6"/>
    </row>
    <row r="10" spans="1:13">
      <c r="A10" s="8">
        <v>1</v>
      </c>
      <c r="B10" s="9">
        <f>G9</f>
        <v>1000000</v>
      </c>
      <c r="C10" s="10">
        <f>$B$4/12</f>
        <v>0.01</v>
      </c>
      <c r="D10" s="14">
        <f>$B$6</f>
        <v>47073.472223264704</v>
      </c>
      <c r="E10" s="9">
        <f>B10*C10</f>
        <v>10000</v>
      </c>
      <c r="F10" s="15">
        <f>D10-E10</f>
        <v>37073.472223264704</v>
      </c>
      <c r="G10" s="11">
        <f>G9-F10</f>
        <v>962926.52777673525</v>
      </c>
      <c r="I10" s="12"/>
      <c r="J10" s="6"/>
    </row>
    <row r="11" spans="1:13">
      <c r="A11" s="8">
        <f>+A10+1</f>
        <v>2</v>
      </c>
      <c r="B11" s="9">
        <f t="shared" ref="B11:B32" si="0">G10</f>
        <v>962926.52777673525</v>
      </c>
      <c r="C11" s="10">
        <f t="shared" ref="C11:C33" si="1">$B$4/12</f>
        <v>0.01</v>
      </c>
      <c r="D11" s="14">
        <f t="shared" ref="D11:D33" si="2">$B$6</f>
        <v>47073.472223264704</v>
      </c>
      <c r="E11" s="9">
        <f>B11*C11</f>
        <v>9629.265277767352</v>
      </c>
      <c r="F11" s="15">
        <f>D11-E11</f>
        <v>37444.206945497353</v>
      </c>
      <c r="G11" s="11">
        <f>G10-F11</f>
        <v>925482.32083123794</v>
      </c>
      <c r="I11" s="12"/>
      <c r="J11" s="6"/>
    </row>
    <row r="12" spans="1:13">
      <c r="A12" s="8">
        <f t="shared" ref="A12:A33" si="3">+A11+1</f>
        <v>3</v>
      </c>
      <c r="B12" s="9">
        <f t="shared" si="0"/>
        <v>925482.32083123794</v>
      </c>
      <c r="C12" s="10">
        <f t="shared" si="1"/>
        <v>0.01</v>
      </c>
      <c r="D12" s="14">
        <f t="shared" si="2"/>
        <v>47073.472223264704</v>
      </c>
      <c r="E12" s="9">
        <f t="shared" ref="E12:E33" si="4">B12*C12</f>
        <v>9254.8232083123803</v>
      </c>
      <c r="F12" s="15">
        <f t="shared" ref="F12:F32" si="5">D12-E12</f>
        <v>37818.649014952323</v>
      </c>
      <c r="G12" s="11">
        <f t="shared" ref="G12:G32" si="6">G11-F12</f>
        <v>887663.67181628558</v>
      </c>
      <c r="I12" s="12"/>
      <c r="J12" s="6"/>
    </row>
    <row r="13" spans="1:13">
      <c r="A13" s="8">
        <f t="shared" si="3"/>
        <v>4</v>
      </c>
      <c r="B13" s="9">
        <f t="shared" si="0"/>
        <v>887663.67181628558</v>
      </c>
      <c r="C13" s="10">
        <f t="shared" si="1"/>
        <v>0.01</v>
      </c>
      <c r="D13" s="14">
        <f t="shared" si="2"/>
        <v>47073.472223264704</v>
      </c>
      <c r="E13" s="9">
        <f t="shared" si="4"/>
        <v>8876.6367181628557</v>
      </c>
      <c r="F13" s="15">
        <f t="shared" si="5"/>
        <v>38196.835505101844</v>
      </c>
      <c r="G13" s="11">
        <f t="shared" si="6"/>
        <v>849466.83631118375</v>
      </c>
      <c r="I13" s="12"/>
      <c r="J13" s="6"/>
    </row>
    <row r="14" spans="1:13">
      <c r="A14" s="8">
        <f t="shared" si="3"/>
        <v>5</v>
      </c>
      <c r="B14" s="9">
        <f t="shared" si="0"/>
        <v>849466.83631118375</v>
      </c>
      <c r="C14" s="10">
        <f t="shared" si="1"/>
        <v>0.01</v>
      </c>
      <c r="D14" s="14">
        <f t="shared" si="2"/>
        <v>47073.472223264704</v>
      </c>
      <c r="E14" s="9">
        <f t="shared" si="4"/>
        <v>8494.6683631118376</v>
      </c>
      <c r="F14" s="15">
        <f t="shared" si="5"/>
        <v>38578.803860152868</v>
      </c>
      <c r="G14" s="11">
        <f t="shared" si="6"/>
        <v>810888.03245103091</v>
      </c>
      <c r="I14" s="12"/>
      <c r="J14" s="6"/>
    </row>
    <row r="15" spans="1:13">
      <c r="A15" s="8">
        <f t="shared" si="3"/>
        <v>6</v>
      </c>
      <c r="B15" s="9">
        <f t="shared" si="0"/>
        <v>810888.03245103091</v>
      </c>
      <c r="C15" s="10">
        <f t="shared" si="1"/>
        <v>0.01</v>
      </c>
      <c r="D15" s="14">
        <f t="shared" si="2"/>
        <v>47073.472223264704</v>
      </c>
      <c r="E15" s="9">
        <f t="shared" si="4"/>
        <v>8108.880324510309</v>
      </c>
      <c r="F15" s="15">
        <f t="shared" si="5"/>
        <v>38964.591898754392</v>
      </c>
      <c r="G15" s="11">
        <f t="shared" si="6"/>
        <v>771923.44055227656</v>
      </c>
      <c r="I15" s="12"/>
      <c r="J15" s="6"/>
    </row>
    <row r="16" spans="1:13">
      <c r="A16" s="8">
        <f t="shared" si="3"/>
        <v>7</v>
      </c>
      <c r="B16" s="9">
        <f t="shared" si="0"/>
        <v>771923.44055227656</v>
      </c>
      <c r="C16" s="10">
        <f t="shared" si="1"/>
        <v>0.01</v>
      </c>
      <c r="D16" s="14">
        <f t="shared" si="2"/>
        <v>47073.472223264704</v>
      </c>
      <c r="E16" s="9">
        <f t="shared" si="4"/>
        <v>7719.2344055227659</v>
      </c>
      <c r="F16" s="15">
        <f t="shared" si="5"/>
        <v>39354.237817741938</v>
      </c>
      <c r="G16" s="11">
        <f t="shared" si="6"/>
        <v>732569.20273453463</v>
      </c>
      <c r="I16" s="12"/>
      <c r="J16" s="6"/>
    </row>
    <row r="17" spans="1:10">
      <c r="A17" s="8">
        <f t="shared" si="3"/>
        <v>8</v>
      </c>
      <c r="B17" s="9">
        <f t="shared" si="0"/>
        <v>732569.20273453463</v>
      </c>
      <c r="C17" s="10">
        <f t="shared" si="1"/>
        <v>0.01</v>
      </c>
      <c r="D17" s="14">
        <f t="shared" si="2"/>
        <v>47073.472223264704</v>
      </c>
      <c r="E17" s="9">
        <f t="shared" si="4"/>
        <v>7325.6920273453461</v>
      </c>
      <c r="F17" s="15">
        <f t="shared" si="5"/>
        <v>39747.78019591936</v>
      </c>
      <c r="G17" s="11">
        <f t="shared" si="6"/>
        <v>692821.4225386153</v>
      </c>
      <c r="I17" s="12"/>
      <c r="J17" s="6"/>
    </row>
    <row r="18" spans="1:10">
      <c r="A18" s="8">
        <f t="shared" si="3"/>
        <v>9</v>
      </c>
      <c r="B18" s="9">
        <f t="shared" si="0"/>
        <v>692821.4225386153</v>
      </c>
      <c r="C18" s="10">
        <f t="shared" si="1"/>
        <v>0.01</v>
      </c>
      <c r="D18" s="14">
        <f t="shared" si="2"/>
        <v>47073.472223264704</v>
      </c>
      <c r="E18" s="9">
        <f t="shared" si="4"/>
        <v>6928.214225386153</v>
      </c>
      <c r="F18" s="15">
        <f t="shared" si="5"/>
        <v>40145.257997878551</v>
      </c>
      <c r="G18" s="11">
        <f t="shared" si="6"/>
        <v>652676.1645407367</v>
      </c>
      <c r="I18" s="12"/>
      <c r="J18" s="6"/>
    </row>
    <row r="19" spans="1:10">
      <c r="A19" s="8">
        <f t="shared" si="3"/>
        <v>10</v>
      </c>
      <c r="B19" s="9">
        <f t="shared" si="0"/>
        <v>652676.1645407367</v>
      </c>
      <c r="C19" s="10">
        <f t="shared" si="1"/>
        <v>0.01</v>
      </c>
      <c r="D19" s="14">
        <f t="shared" si="2"/>
        <v>47073.472223264704</v>
      </c>
      <c r="E19" s="9">
        <f t="shared" si="4"/>
        <v>6526.7616454073668</v>
      </c>
      <c r="F19" s="15">
        <f t="shared" si="5"/>
        <v>40546.710577857339</v>
      </c>
      <c r="G19" s="11">
        <f t="shared" si="6"/>
        <v>612129.45396287937</v>
      </c>
      <c r="I19" s="12"/>
      <c r="J19" s="6"/>
    </row>
    <row r="20" spans="1:10">
      <c r="A20" s="8">
        <f t="shared" si="3"/>
        <v>11</v>
      </c>
      <c r="B20" s="9">
        <f t="shared" si="0"/>
        <v>612129.45396287937</v>
      </c>
      <c r="C20" s="10">
        <f t="shared" si="1"/>
        <v>0.01</v>
      </c>
      <c r="D20" s="14">
        <f t="shared" si="2"/>
        <v>47073.472223264704</v>
      </c>
      <c r="E20" s="9">
        <f t="shared" si="4"/>
        <v>6121.2945396287942</v>
      </c>
      <c r="F20" s="15">
        <f t="shared" si="5"/>
        <v>40952.177683635906</v>
      </c>
      <c r="G20" s="11">
        <f t="shared" si="6"/>
        <v>571177.27627924341</v>
      </c>
      <c r="I20" s="12"/>
      <c r="J20" s="6"/>
    </row>
    <row r="21" spans="1:10">
      <c r="A21" s="8">
        <f t="shared" si="3"/>
        <v>12</v>
      </c>
      <c r="B21" s="9">
        <f t="shared" si="0"/>
        <v>571177.27627924341</v>
      </c>
      <c r="C21" s="10">
        <f t="shared" si="1"/>
        <v>0.01</v>
      </c>
      <c r="D21" s="14">
        <f t="shared" si="2"/>
        <v>47073.472223264704</v>
      </c>
      <c r="E21" s="9">
        <f t="shared" si="4"/>
        <v>5711.7727627924342</v>
      </c>
      <c r="F21" s="15">
        <f t="shared" si="5"/>
        <v>41361.699460472271</v>
      </c>
      <c r="G21" s="11">
        <f t="shared" si="6"/>
        <v>529815.57681877119</v>
      </c>
      <c r="I21" s="12"/>
      <c r="J21" s="6"/>
    </row>
    <row r="22" spans="1:10">
      <c r="A22" s="8">
        <f t="shared" si="3"/>
        <v>13</v>
      </c>
      <c r="B22" s="9">
        <f t="shared" si="0"/>
        <v>529815.57681877119</v>
      </c>
      <c r="C22" s="10">
        <f t="shared" si="1"/>
        <v>0.01</v>
      </c>
      <c r="D22" s="14">
        <f t="shared" si="2"/>
        <v>47073.472223264704</v>
      </c>
      <c r="E22" s="9">
        <f t="shared" si="4"/>
        <v>5298.1557681877121</v>
      </c>
      <c r="F22" s="15">
        <f t="shared" si="5"/>
        <v>41775.316455076994</v>
      </c>
      <c r="G22" s="11">
        <f t="shared" si="6"/>
        <v>488040.26036369422</v>
      </c>
      <c r="I22" s="12"/>
      <c r="J22" s="6"/>
    </row>
    <row r="23" spans="1:10">
      <c r="A23" s="8">
        <f t="shared" si="3"/>
        <v>14</v>
      </c>
      <c r="B23" s="9">
        <f t="shared" si="0"/>
        <v>488040.26036369422</v>
      </c>
      <c r="C23" s="10">
        <f t="shared" si="1"/>
        <v>0.01</v>
      </c>
      <c r="D23" s="14">
        <f t="shared" si="2"/>
        <v>47073.472223264704</v>
      </c>
      <c r="E23" s="9">
        <f t="shared" si="4"/>
        <v>4880.4026036369423</v>
      </c>
      <c r="F23" s="15">
        <f t="shared" si="5"/>
        <v>42193.069619627764</v>
      </c>
      <c r="G23" s="11">
        <f t="shared" si="6"/>
        <v>445847.19074406644</v>
      </c>
      <c r="I23" s="12"/>
      <c r="J23" s="6"/>
    </row>
    <row r="24" spans="1:10">
      <c r="A24" s="8">
        <f t="shared" si="3"/>
        <v>15</v>
      </c>
      <c r="B24" s="9">
        <f t="shared" si="0"/>
        <v>445847.19074406644</v>
      </c>
      <c r="C24" s="10">
        <f t="shared" si="1"/>
        <v>0.01</v>
      </c>
      <c r="D24" s="14">
        <f t="shared" si="2"/>
        <v>47073.472223264704</v>
      </c>
      <c r="E24" s="9">
        <f t="shared" si="4"/>
        <v>4458.4719074406648</v>
      </c>
      <c r="F24" s="15">
        <f t="shared" si="5"/>
        <v>42615.000315824036</v>
      </c>
      <c r="G24" s="11">
        <f t="shared" si="6"/>
        <v>403232.19042824238</v>
      </c>
      <c r="I24" s="12"/>
      <c r="J24" s="6"/>
    </row>
    <row r="25" spans="1:10">
      <c r="A25" s="8">
        <f t="shared" si="3"/>
        <v>16</v>
      </c>
      <c r="B25" s="9">
        <f t="shared" si="0"/>
        <v>403232.19042824238</v>
      </c>
      <c r="C25" s="10">
        <f t="shared" si="1"/>
        <v>0.01</v>
      </c>
      <c r="D25" s="14">
        <f t="shared" si="2"/>
        <v>47073.472223264704</v>
      </c>
      <c r="E25" s="9">
        <f t="shared" si="4"/>
        <v>4032.3219042824239</v>
      </c>
      <c r="F25" s="15">
        <f t="shared" si="5"/>
        <v>43041.150318982283</v>
      </c>
      <c r="G25" s="11">
        <f t="shared" si="6"/>
        <v>360191.04010926012</v>
      </c>
      <c r="I25" s="12"/>
      <c r="J25" s="6"/>
    </row>
    <row r="26" spans="1:10">
      <c r="A26" s="8">
        <f t="shared" si="3"/>
        <v>17</v>
      </c>
      <c r="B26" s="9">
        <f t="shared" si="0"/>
        <v>360191.04010926012</v>
      </c>
      <c r="C26" s="10">
        <f t="shared" si="1"/>
        <v>0.01</v>
      </c>
      <c r="D26" s="14">
        <f t="shared" si="2"/>
        <v>47073.472223264704</v>
      </c>
      <c r="E26" s="9">
        <f t="shared" si="4"/>
        <v>3601.9104010926012</v>
      </c>
      <c r="F26" s="15">
        <f t="shared" si="5"/>
        <v>43471.561822172102</v>
      </c>
      <c r="G26" s="11">
        <f t="shared" si="6"/>
        <v>316719.47828708804</v>
      </c>
      <c r="I26" s="12"/>
      <c r="J26" s="6"/>
    </row>
    <row r="27" spans="1:10">
      <c r="A27" s="8">
        <f t="shared" si="3"/>
        <v>18</v>
      </c>
      <c r="B27" s="9">
        <f t="shared" si="0"/>
        <v>316719.47828708804</v>
      </c>
      <c r="C27" s="10">
        <f t="shared" si="1"/>
        <v>0.01</v>
      </c>
      <c r="D27" s="14">
        <f t="shared" si="2"/>
        <v>47073.472223264704</v>
      </c>
      <c r="E27" s="9">
        <f t="shared" si="4"/>
        <v>3167.1947828708803</v>
      </c>
      <c r="F27" s="15">
        <f t="shared" si="5"/>
        <v>43906.277440393824</v>
      </c>
      <c r="G27" s="11">
        <f t="shared" si="6"/>
        <v>272813.20084669424</v>
      </c>
      <c r="I27" s="12"/>
      <c r="J27" s="6"/>
    </row>
    <row r="28" spans="1:10">
      <c r="A28" s="8">
        <f t="shared" si="3"/>
        <v>19</v>
      </c>
      <c r="B28" s="9">
        <f t="shared" si="0"/>
        <v>272813.20084669424</v>
      </c>
      <c r="C28" s="10">
        <f t="shared" si="1"/>
        <v>0.01</v>
      </c>
      <c r="D28" s="14">
        <f t="shared" si="2"/>
        <v>47073.472223264704</v>
      </c>
      <c r="E28" s="9">
        <f t="shared" si="4"/>
        <v>2728.1320084669424</v>
      </c>
      <c r="F28" s="15">
        <f t="shared" si="5"/>
        <v>44345.340214797761</v>
      </c>
      <c r="G28" s="11">
        <f t="shared" si="6"/>
        <v>228467.86063189647</v>
      </c>
      <c r="I28" s="12"/>
      <c r="J28" s="6"/>
    </row>
    <row r="29" spans="1:10">
      <c r="A29" s="8">
        <f t="shared" si="3"/>
        <v>20</v>
      </c>
      <c r="B29" s="9">
        <f t="shared" si="0"/>
        <v>228467.86063189647</v>
      </c>
      <c r="C29" s="10">
        <f t="shared" si="1"/>
        <v>0.01</v>
      </c>
      <c r="D29" s="14">
        <f t="shared" si="2"/>
        <v>47073.472223264704</v>
      </c>
      <c r="E29" s="9">
        <f t="shared" si="4"/>
        <v>2284.6786063189647</v>
      </c>
      <c r="F29" s="15">
        <f t="shared" si="5"/>
        <v>44788.793616945739</v>
      </c>
      <c r="G29" s="11">
        <f t="shared" si="6"/>
        <v>183679.06701495074</v>
      </c>
      <c r="I29" s="12"/>
      <c r="J29" s="6"/>
    </row>
    <row r="30" spans="1:10">
      <c r="A30" s="8">
        <f t="shared" si="3"/>
        <v>21</v>
      </c>
      <c r="B30" s="9">
        <f t="shared" si="0"/>
        <v>183679.06701495074</v>
      </c>
      <c r="C30" s="10">
        <f t="shared" si="1"/>
        <v>0.01</v>
      </c>
      <c r="D30" s="14">
        <f t="shared" si="2"/>
        <v>47073.472223264704</v>
      </c>
      <c r="E30" s="9">
        <f t="shared" si="4"/>
        <v>1836.7906701495074</v>
      </c>
      <c r="F30" s="15">
        <f t="shared" si="5"/>
        <v>45236.681553115195</v>
      </c>
      <c r="G30" s="11">
        <f t="shared" si="6"/>
        <v>138442.38546183554</v>
      </c>
      <c r="I30" s="12"/>
      <c r="J30" s="6"/>
    </row>
    <row r="31" spans="1:10">
      <c r="A31" s="8">
        <f t="shared" si="3"/>
        <v>22</v>
      </c>
      <c r="B31" s="9">
        <f t="shared" si="0"/>
        <v>138442.38546183554</v>
      </c>
      <c r="C31" s="10">
        <f t="shared" si="1"/>
        <v>0.01</v>
      </c>
      <c r="D31" s="14">
        <f t="shared" si="2"/>
        <v>47073.472223264704</v>
      </c>
      <c r="E31" s="9">
        <f t="shared" si="4"/>
        <v>1384.4238546183553</v>
      </c>
      <c r="F31" s="15">
        <f t="shared" si="5"/>
        <v>45689.048368646349</v>
      </c>
      <c r="G31" s="11">
        <f t="shared" si="6"/>
        <v>92753.337093189184</v>
      </c>
      <c r="I31" s="12"/>
      <c r="J31" s="6"/>
    </row>
    <row r="32" spans="1:10">
      <c r="A32" s="8">
        <f t="shared" si="3"/>
        <v>23</v>
      </c>
      <c r="B32" s="9">
        <f t="shared" si="0"/>
        <v>92753.337093189184</v>
      </c>
      <c r="C32" s="10">
        <f t="shared" si="1"/>
        <v>0.01</v>
      </c>
      <c r="D32" s="14">
        <f t="shared" si="2"/>
        <v>47073.472223264704</v>
      </c>
      <c r="E32" s="9">
        <f t="shared" si="4"/>
        <v>927.53337093189191</v>
      </c>
      <c r="F32" s="15">
        <f t="shared" si="5"/>
        <v>46145.938852332809</v>
      </c>
      <c r="G32" s="11">
        <f t="shared" si="6"/>
        <v>46607.398240856375</v>
      </c>
      <c r="I32" s="12"/>
      <c r="J32" s="6"/>
    </row>
    <row r="33" spans="1:10">
      <c r="A33" s="8">
        <f t="shared" si="3"/>
        <v>24</v>
      </c>
      <c r="B33" s="9">
        <f>G32</f>
        <v>46607.398240856375</v>
      </c>
      <c r="C33" s="10">
        <f t="shared" si="1"/>
        <v>0.01</v>
      </c>
      <c r="D33" s="14">
        <f t="shared" si="2"/>
        <v>47073.472223264704</v>
      </c>
      <c r="E33" s="9">
        <f t="shared" si="4"/>
        <v>466.07398240856378</v>
      </c>
      <c r="F33" s="15">
        <f>D33-E33</f>
        <v>46607.398240856142</v>
      </c>
      <c r="G33" s="11">
        <f>G32-F33</f>
        <v>2.3283064365386963E-10</v>
      </c>
      <c r="I33" s="12"/>
      <c r="J33" s="6"/>
    </row>
  </sheetData>
  <mergeCells count="1">
    <mergeCell ref="A1:M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F9E330-2DBE-431C-9229-E8EB0A4F405C}">
  <sheetPr codeName="Hoja2"/>
  <dimension ref="A1:K33"/>
  <sheetViews>
    <sheetView showGridLines="0" zoomScale="145" zoomScaleNormal="145" workbookViewId="0">
      <selection activeCell="D5" sqref="D5"/>
    </sheetView>
  </sheetViews>
  <sheetFormatPr baseColWidth="10" defaultColWidth="8.85546875" defaultRowHeight="15"/>
  <cols>
    <col min="1" max="1" width="18.7109375" customWidth="1"/>
    <col min="2" max="2" width="13.42578125" bestFit="1" customWidth="1"/>
    <col min="4" max="4" width="14.7109375" customWidth="1"/>
    <col min="5" max="5" width="11.28515625" bestFit="1" customWidth="1"/>
    <col min="6" max="6" width="12.5703125" bestFit="1" customWidth="1"/>
    <col min="7" max="7" width="13.42578125" bestFit="1" customWidth="1"/>
    <col min="9" max="9" width="12.85546875" bestFit="1" customWidth="1"/>
  </cols>
  <sheetData>
    <row r="1" spans="1:11" ht="23.25">
      <c r="A1" s="24" t="s">
        <v>13</v>
      </c>
      <c r="B1" s="24"/>
      <c r="C1" s="24"/>
      <c r="D1" s="24"/>
      <c r="E1" s="24"/>
      <c r="F1" s="24"/>
      <c r="G1" s="24"/>
      <c r="H1" s="24"/>
      <c r="I1" s="24"/>
      <c r="J1" s="24"/>
      <c r="K1" s="24"/>
    </row>
    <row r="3" spans="1:11" ht="30">
      <c r="A3" s="2" t="s">
        <v>0</v>
      </c>
      <c r="B3" s="3">
        <v>1000000</v>
      </c>
    </row>
    <row r="4" spans="1:11" ht="30">
      <c r="A4" s="2" t="s">
        <v>1</v>
      </c>
      <c r="B4" s="4">
        <v>0.12</v>
      </c>
      <c r="D4" s="6"/>
    </row>
    <row r="5" spans="1:11">
      <c r="A5" s="13" t="s">
        <v>2</v>
      </c>
      <c r="B5" s="5">
        <v>24</v>
      </c>
      <c r="C5" s="5" t="s">
        <v>3</v>
      </c>
    </row>
    <row r="6" spans="1:11">
      <c r="A6" s="13" t="s">
        <v>9</v>
      </c>
      <c r="B6" s="17">
        <f>B3/B5</f>
        <v>41666.666666666664</v>
      </c>
      <c r="C6" s="5" t="s">
        <v>17</v>
      </c>
    </row>
    <row r="7" spans="1:11">
      <c r="B7" s="3"/>
      <c r="D7" s="5" t="s">
        <v>16</v>
      </c>
      <c r="F7" s="16" t="s">
        <v>15</v>
      </c>
    </row>
    <row r="8" spans="1:11">
      <c r="A8" s="7" t="s">
        <v>4</v>
      </c>
      <c r="B8" s="7" t="s">
        <v>5</v>
      </c>
      <c r="C8" s="7" t="s">
        <v>6</v>
      </c>
      <c r="D8" s="7" t="s">
        <v>7</v>
      </c>
      <c r="E8" s="7" t="s">
        <v>8</v>
      </c>
      <c r="F8" s="7" t="s">
        <v>9</v>
      </c>
      <c r="G8" s="7" t="s">
        <v>10</v>
      </c>
    </row>
    <row r="9" spans="1:11">
      <c r="A9" s="8">
        <v>0</v>
      </c>
      <c r="B9" s="9"/>
      <c r="C9" s="10"/>
      <c r="D9" s="9"/>
      <c r="E9" s="9"/>
      <c r="F9" s="11"/>
      <c r="G9" s="11">
        <v>1000000</v>
      </c>
      <c r="I9" s="12"/>
      <c r="J9" s="6"/>
    </row>
    <row r="10" spans="1:11">
      <c r="A10" s="8">
        <v>1</v>
      </c>
      <c r="B10" s="9">
        <f>G9</f>
        <v>1000000</v>
      </c>
      <c r="C10" s="10">
        <f>$B$4/12</f>
        <v>0.01</v>
      </c>
      <c r="D10" s="9">
        <f>E10+F10</f>
        <v>51666.666666666664</v>
      </c>
      <c r="E10" s="9">
        <f>B10*C10</f>
        <v>10000</v>
      </c>
      <c r="F10" s="11">
        <f>$B$6</f>
        <v>41666.666666666664</v>
      </c>
      <c r="G10" s="11">
        <f>B10-F10</f>
        <v>958333.33333333337</v>
      </c>
      <c r="I10" s="12"/>
      <c r="J10" s="6"/>
    </row>
    <row r="11" spans="1:11">
      <c r="A11" s="8">
        <f>+A10+1</f>
        <v>2</v>
      </c>
      <c r="B11" s="9">
        <f t="shared" ref="B11:B33" si="0">G10</f>
        <v>958333.33333333337</v>
      </c>
      <c r="C11" s="10">
        <f t="shared" ref="C11:C33" si="1">$B$4/12</f>
        <v>0.01</v>
      </c>
      <c r="D11" s="9">
        <f t="shared" ref="D11:D32" si="2">E11+F11</f>
        <v>51250</v>
      </c>
      <c r="E11" s="9">
        <f t="shared" ref="E11:E33" si="3">B11*C11</f>
        <v>9583.3333333333339</v>
      </c>
      <c r="F11" s="11">
        <f t="shared" ref="F11:F33" si="4">$B$6</f>
        <v>41666.666666666664</v>
      </c>
      <c r="G11" s="11">
        <f t="shared" ref="G11:G32" si="5">B11-F11</f>
        <v>916666.66666666674</v>
      </c>
      <c r="I11" s="12"/>
      <c r="J11" s="6"/>
    </row>
    <row r="12" spans="1:11">
      <c r="A12" s="8">
        <f t="shared" ref="A12:A33" si="6">+A11+1</f>
        <v>3</v>
      </c>
      <c r="B12" s="9">
        <f t="shared" si="0"/>
        <v>916666.66666666674</v>
      </c>
      <c r="C12" s="10">
        <f t="shared" si="1"/>
        <v>0.01</v>
      </c>
      <c r="D12" s="9">
        <f t="shared" si="2"/>
        <v>50833.333333333328</v>
      </c>
      <c r="E12" s="9">
        <f t="shared" si="3"/>
        <v>9166.6666666666679</v>
      </c>
      <c r="F12" s="11">
        <f t="shared" si="4"/>
        <v>41666.666666666664</v>
      </c>
      <c r="G12" s="11">
        <f t="shared" si="5"/>
        <v>875000.00000000012</v>
      </c>
      <c r="I12" s="12"/>
      <c r="J12" s="6"/>
    </row>
    <row r="13" spans="1:11">
      <c r="A13" s="8">
        <f t="shared" si="6"/>
        <v>4</v>
      </c>
      <c r="B13" s="9">
        <f t="shared" si="0"/>
        <v>875000.00000000012</v>
      </c>
      <c r="C13" s="10">
        <f t="shared" si="1"/>
        <v>0.01</v>
      </c>
      <c r="D13" s="9">
        <f t="shared" si="2"/>
        <v>50416.666666666664</v>
      </c>
      <c r="E13" s="9">
        <f t="shared" si="3"/>
        <v>8750.0000000000018</v>
      </c>
      <c r="F13" s="11">
        <f t="shared" si="4"/>
        <v>41666.666666666664</v>
      </c>
      <c r="G13" s="11">
        <f t="shared" si="5"/>
        <v>833333.33333333349</v>
      </c>
      <c r="I13" s="12"/>
      <c r="J13" s="6"/>
    </row>
    <row r="14" spans="1:11">
      <c r="A14" s="8">
        <f t="shared" si="6"/>
        <v>5</v>
      </c>
      <c r="B14" s="9">
        <f t="shared" si="0"/>
        <v>833333.33333333349</v>
      </c>
      <c r="C14" s="10">
        <f t="shared" si="1"/>
        <v>0.01</v>
      </c>
      <c r="D14" s="9">
        <f t="shared" si="2"/>
        <v>50000</v>
      </c>
      <c r="E14" s="9">
        <f t="shared" si="3"/>
        <v>8333.3333333333358</v>
      </c>
      <c r="F14" s="11">
        <f t="shared" si="4"/>
        <v>41666.666666666664</v>
      </c>
      <c r="G14" s="11">
        <f t="shared" si="5"/>
        <v>791666.66666666686</v>
      </c>
      <c r="I14" s="12"/>
      <c r="J14" s="6"/>
    </row>
    <row r="15" spans="1:11">
      <c r="A15" s="8">
        <f t="shared" si="6"/>
        <v>6</v>
      </c>
      <c r="B15" s="9">
        <f t="shared" si="0"/>
        <v>791666.66666666686</v>
      </c>
      <c r="C15" s="10">
        <f t="shared" si="1"/>
        <v>0.01</v>
      </c>
      <c r="D15" s="9">
        <f t="shared" si="2"/>
        <v>49583.333333333336</v>
      </c>
      <c r="E15" s="9">
        <f t="shared" si="3"/>
        <v>7916.6666666666688</v>
      </c>
      <c r="F15" s="11">
        <f t="shared" si="4"/>
        <v>41666.666666666664</v>
      </c>
      <c r="G15" s="11">
        <f t="shared" si="5"/>
        <v>750000.00000000023</v>
      </c>
      <c r="I15" s="12"/>
      <c r="J15" s="6"/>
    </row>
    <row r="16" spans="1:11">
      <c r="A16" s="8">
        <f t="shared" si="6"/>
        <v>7</v>
      </c>
      <c r="B16" s="9">
        <f t="shared" si="0"/>
        <v>750000.00000000023</v>
      </c>
      <c r="C16" s="10">
        <f t="shared" si="1"/>
        <v>0.01</v>
      </c>
      <c r="D16" s="9">
        <f t="shared" si="2"/>
        <v>49166.666666666664</v>
      </c>
      <c r="E16" s="9">
        <f t="shared" si="3"/>
        <v>7500.0000000000027</v>
      </c>
      <c r="F16" s="11">
        <f t="shared" si="4"/>
        <v>41666.666666666664</v>
      </c>
      <c r="G16" s="11">
        <f t="shared" si="5"/>
        <v>708333.3333333336</v>
      </c>
      <c r="I16" s="12"/>
      <c r="J16" s="6"/>
    </row>
    <row r="17" spans="1:10">
      <c r="A17" s="8">
        <f t="shared" si="6"/>
        <v>8</v>
      </c>
      <c r="B17" s="9">
        <f t="shared" si="0"/>
        <v>708333.3333333336</v>
      </c>
      <c r="C17" s="10">
        <f t="shared" si="1"/>
        <v>0.01</v>
      </c>
      <c r="D17" s="9">
        <f t="shared" si="2"/>
        <v>48750</v>
      </c>
      <c r="E17" s="9">
        <f t="shared" si="3"/>
        <v>7083.3333333333358</v>
      </c>
      <c r="F17" s="11">
        <f t="shared" si="4"/>
        <v>41666.666666666664</v>
      </c>
      <c r="G17" s="11">
        <f t="shared" si="5"/>
        <v>666666.66666666698</v>
      </c>
      <c r="I17" s="12"/>
      <c r="J17" s="6"/>
    </row>
    <row r="18" spans="1:10">
      <c r="A18" s="8">
        <f t="shared" si="6"/>
        <v>9</v>
      </c>
      <c r="B18" s="9">
        <f t="shared" si="0"/>
        <v>666666.66666666698</v>
      </c>
      <c r="C18" s="10">
        <f t="shared" si="1"/>
        <v>0.01</v>
      </c>
      <c r="D18" s="9">
        <f t="shared" si="2"/>
        <v>48333.333333333336</v>
      </c>
      <c r="E18" s="9">
        <f t="shared" si="3"/>
        <v>6666.6666666666697</v>
      </c>
      <c r="F18" s="11">
        <f t="shared" si="4"/>
        <v>41666.666666666664</v>
      </c>
      <c r="G18" s="11">
        <f t="shared" si="5"/>
        <v>625000.00000000035</v>
      </c>
      <c r="I18" s="12"/>
      <c r="J18" s="6"/>
    </row>
    <row r="19" spans="1:10">
      <c r="A19" s="8">
        <f t="shared" si="6"/>
        <v>10</v>
      </c>
      <c r="B19" s="9">
        <f t="shared" si="0"/>
        <v>625000.00000000035</v>
      </c>
      <c r="C19" s="10">
        <f t="shared" si="1"/>
        <v>0.01</v>
      </c>
      <c r="D19" s="9">
        <f t="shared" si="2"/>
        <v>47916.666666666672</v>
      </c>
      <c r="E19" s="9">
        <f t="shared" si="3"/>
        <v>6250.0000000000036</v>
      </c>
      <c r="F19" s="11">
        <f t="shared" si="4"/>
        <v>41666.666666666664</v>
      </c>
      <c r="G19" s="11">
        <f t="shared" si="5"/>
        <v>583333.33333333372</v>
      </c>
      <c r="I19" s="12"/>
      <c r="J19" s="6"/>
    </row>
    <row r="20" spans="1:10">
      <c r="A20" s="8">
        <f t="shared" si="6"/>
        <v>11</v>
      </c>
      <c r="B20" s="9">
        <f t="shared" si="0"/>
        <v>583333.33333333372</v>
      </c>
      <c r="C20" s="10">
        <f t="shared" si="1"/>
        <v>0.01</v>
      </c>
      <c r="D20" s="9">
        <f t="shared" si="2"/>
        <v>47500</v>
      </c>
      <c r="E20" s="9">
        <f t="shared" si="3"/>
        <v>5833.3333333333376</v>
      </c>
      <c r="F20" s="11">
        <f t="shared" si="4"/>
        <v>41666.666666666664</v>
      </c>
      <c r="G20" s="11">
        <f t="shared" si="5"/>
        <v>541666.66666666709</v>
      </c>
      <c r="I20" s="12"/>
      <c r="J20" s="6"/>
    </row>
    <row r="21" spans="1:10">
      <c r="A21" s="8">
        <f t="shared" si="6"/>
        <v>12</v>
      </c>
      <c r="B21" s="9">
        <f t="shared" si="0"/>
        <v>541666.66666666709</v>
      </c>
      <c r="C21" s="10">
        <f t="shared" si="1"/>
        <v>0.01</v>
      </c>
      <c r="D21" s="9">
        <f t="shared" si="2"/>
        <v>47083.333333333336</v>
      </c>
      <c r="E21" s="9">
        <f t="shared" si="3"/>
        <v>5416.6666666666706</v>
      </c>
      <c r="F21" s="11">
        <f t="shared" si="4"/>
        <v>41666.666666666664</v>
      </c>
      <c r="G21" s="11">
        <f t="shared" si="5"/>
        <v>500000.00000000041</v>
      </c>
      <c r="I21" s="12"/>
      <c r="J21" s="6"/>
    </row>
    <row r="22" spans="1:10">
      <c r="A22" s="8">
        <f t="shared" si="6"/>
        <v>13</v>
      </c>
      <c r="B22" s="9">
        <f t="shared" si="0"/>
        <v>500000.00000000041</v>
      </c>
      <c r="C22" s="10">
        <f t="shared" si="1"/>
        <v>0.01</v>
      </c>
      <c r="D22" s="9">
        <f t="shared" si="2"/>
        <v>46666.666666666672</v>
      </c>
      <c r="E22" s="9">
        <f t="shared" si="3"/>
        <v>5000.0000000000045</v>
      </c>
      <c r="F22" s="11">
        <f t="shared" si="4"/>
        <v>41666.666666666664</v>
      </c>
      <c r="G22" s="11">
        <f t="shared" si="5"/>
        <v>458333.33333333372</v>
      </c>
      <c r="I22" s="12"/>
      <c r="J22" s="6"/>
    </row>
    <row r="23" spans="1:10">
      <c r="A23" s="8">
        <f t="shared" si="6"/>
        <v>14</v>
      </c>
      <c r="B23" s="9">
        <f t="shared" si="0"/>
        <v>458333.33333333372</v>
      </c>
      <c r="C23" s="10">
        <f t="shared" si="1"/>
        <v>0.01</v>
      </c>
      <c r="D23" s="9">
        <f t="shared" si="2"/>
        <v>46250</v>
      </c>
      <c r="E23" s="9">
        <f t="shared" si="3"/>
        <v>4583.3333333333376</v>
      </c>
      <c r="F23" s="11">
        <f t="shared" si="4"/>
        <v>41666.666666666664</v>
      </c>
      <c r="G23" s="11">
        <f t="shared" si="5"/>
        <v>416666.66666666704</v>
      </c>
      <c r="I23" s="12"/>
      <c r="J23" s="6"/>
    </row>
    <row r="24" spans="1:10">
      <c r="A24" s="8">
        <f t="shared" si="6"/>
        <v>15</v>
      </c>
      <c r="B24" s="9">
        <f t="shared" si="0"/>
        <v>416666.66666666704</v>
      </c>
      <c r="C24" s="10">
        <f t="shared" si="1"/>
        <v>0.01</v>
      </c>
      <c r="D24" s="9">
        <f t="shared" si="2"/>
        <v>45833.333333333336</v>
      </c>
      <c r="E24" s="9">
        <f t="shared" si="3"/>
        <v>4166.6666666666706</v>
      </c>
      <c r="F24" s="11">
        <f t="shared" si="4"/>
        <v>41666.666666666664</v>
      </c>
      <c r="G24" s="11">
        <f t="shared" si="5"/>
        <v>375000.00000000035</v>
      </c>
      <c r="I24" s="12"/>
      <c r="J24" s="6"/>
    </row>
    <row r="25" spans="1:10">
      <c r="A25" s="8">
        <f t="shared" si="6"/>
        <v>16</v>
      </c>
      <c r="B25" s="9">
        <f t="shared" si="0"/>
        <v>375000.00000000035</v>
      </c>
      <c r="C25" s="10">
        <f t="shared" si="1"/>
        <v>0.01</v>
      </c>
      <c r="D25" s="9">
        <f t="shared" si="2"/>
        <v>45416.666666666672</v>
      </c>
      <c r="E25" s="9">
        <f t="shared" si="3"/>
        <v>3750.0000000000036</v>
      </c>
      <c r="F25" s="11">
        <f t="shared" si="4"/>
        <v>41666.666666666664</v>
      </c>
      <c r="G25" s="11">
        <f t="shared" si="5"/>
        <v>333333.33333333366</v>
      </c>
      <c r="I25" s="12"/>
      <c r="J25" s="6"/>
    </row>
    <row r="26" spans="1:10">
      <c r="A26" s="8">
        <f t="shared" si="6"/>
        <v>17</v>
      </c>
      <c r="B26" s="9">
        <f t="shared" si="0"/>
        <v>333333.33333333366</v>
      </c>
      <c r="C26" s="10">
        <f t="shared" si="1"/>
        <v>0.01</v>
      </c>
      <c r="D26" s="9">
        <f t="shared" si="2"/>
        <v>45000</v>
      </c>
      <c r="E26" s="9">
        <f t="shared" si="3"/>
        <v>3333.3333333333367</v>
      </c>
      <c r="F26" s="11">
        <f t="shared" si="4"/>
        <v>41666.666666666664</v>
      </c>
      <c r="G26" s="11">
        <f t="shared" si="5"/>
        <v>291666.66666666698</v>
      </c>
      <c r="I26" s="12"/>
      <c r="J26" s="6"/>
    </row>
    <row r="27" spans="1:10">
      <c r="A27" s="8">
        <f t="shared" si="6"/>
        <v>18</v>
      </c>
      <c r="B27" s="9">
        <f t="shared" si="0"/>
        <v>291666.66666666698</v>
      </c>
      <c r="C27" s="10">
        <f t="shared" si="1"/>
        <v>0.01</v>
      </c>
      <c r="D27" s="9">
        <f t="shared" si="2"/>
        <v>44583.333333333336</v>
      </c>
      <c r="E27" s="9">
        <f t="shared" si="3"/>
        <v>2916.6666666666697</v>
      </c>
      <c r="F27" s="11">
        <f t="shared" si="4"/>
        <v>41666.666666666664</v>
      </c>
      <c r="G27" s="11">
        <f t="shared" si="5"/>
        <v>250000.00000000032</v>
      </c>
      <c r="I27" s="12"/>
      <c r="J27" s="6"/>
    </row>
    <row r="28" spans="1:10">
      <c r="A28" s="8">
        <f t="shared" si="6"/>
        <v>19</v>
      </c>
      <c r="B28" s="9">
        <f t="shared" si="0"/>
        <v>250000.00000000032</v>
      </c>
      <c r="C28" s="10">
        <f t="shared" si="1"/>
        <v>0.01</v>
      </c>
      <c r="D28" s="9">
        <f t="shared" si="2"/>
        <v>44166.666666666664</v>
      </c>
      <c r="E28" s="9">
        <f t="shared" si="3"/>
        <v>2500.0000000000032</v>
      </c>
      <c r="F28" s="11">
        <f t="shared" si="4"/>
        <v>41666.666666666664</v>
      </c>
      <c r="G28" s="11">
        <f t="shared" si="5"/>
        <v>208333.33333333366</v>
      </c>
      <c r="I28" s="12"/>
      <c r="J28" s="6"/>
    </row>
    <row r="29" spans="1:10">
      <c r="A29" s="8">
        <f t="shared" si="6"/>
        <v>20</v>
      </c>
      <c r="B29" s="9">
        <f t="shared" si="0"/>
        <v>208333.33333333366</v>
      </c>
      <c r="C29" s="10">
        <f t="shared" si="1"/>
        <v>0.01</v>
      </c>
      <c r="D29" s="9">
        <f t="shared" si="2"/>
        <v>43750</v>
      </c>
      <c r="E29" s="9">
        <f t="shared" si="3"/>
        <v>2083.3333333333367</v>
      </c>
      <c r="F29" s="11">
        <f t="shared" si="4"/>
        <v>41666.666666666664</v>
      </c>
      <c r="G29" s="11">
        <f t="shared" si="5"/>
        <v>166666.66666666701</v>
      </c>
      <c r="I29" s="12"/>
      <c r="J29" s="6"/>
    </row>
    <row r="30" spans="1:10">
      <c r="A30" s="8">
        <f t="shared" si="6"/>
        <v>21</v>
      </c>
      <c r="B30" s="9">
        <f t="shared" si="0"/>
        <v>166666.66666666701</v>
      </c>
      <c r="C30" s="10">
        <f t="shared" si="1"/>
        <v>0.01</v>
      </c>
      <c r="D30" s="9">
        <f t="shared" si="2"/>
        <v>43333.333333333336</v>
      </c>
      <c r="E30" s="9">
        <f t="shared" si="3"/>
        <v>1666.6666666666702</v>
      </c>
      <c r="F30" s="11">
        <f t="shared" si="4"/>
        <v>41666.666666666664</v>
      </c>
      <c r="G30" s="11">
        <f t="shared" si="5"/>
        <v>125000.00000000035</v>
      </c>
      <c r="I30" s="12"/>
      <c r="J30" s="6"/>
    </row>
    <row r="31" spans="1:10">
      <c r="A31" s="8">
        <f t="shared" si="6"/>
        <v>22</v>
      </c>
      <c r="B31" s="9">
        <f t="shared" si="0"/>
        <v>125000.00000000035</v>
      </c>
      <c r="C31" s="10">
        <f t="shared" si="1"/>
        <v>0.01</v>
      </c>
      <c r="D31" s="9">
        <f t="shared" si="2"/>
        <v>42916.666666666664</v>
      </c>
      <c r="E31" s="9">
        <f t="shared" si="3"/>
        <v>1250.0000000000034</v>
      </c>
      <c r="F31" s="11">
        <f t="shared" si="4"/>
        <v>41666.666666666664</v>
      </c>
      <c r="G31" s="11">
        <f t="shared" si="5"/>
        <v>83333.333333333692</v>
      </c>
      <c r="I31" s="12"/>
      <c r="J31" s="6"/>
    </row>
    <row r="32" spans="1:10">
      <c r="A32" s="8">
        <f t="shared" si="6"/>
        <v>23</v>
      </c>
      <c r="B32" s="9">
        <f t="shared" si="0"/>
        <v>83333.333333333692</v>
      </c>
      <c r="C32" s="10">
        <f t="shared" si="1"/>
        <v>0.01</v>
      </c>
      <c r="D32" s="9">
        <f t="shared" si="2"/>
        <v>42500</v>
      </c>
      <c r="E32" s="9">
        <f t="shared" si="3"/>
        <v>833.3333333333369</v>
      </c>
      <c r="F32" s="11">
        <f t="shared" si="4"/>
        <v>41666.666666666664</v>
      </c>
      <c r="G32" s="11">
        <f t="shared" si="5"/>
        <v>41666.666666667028</v>
      </c>
      <c r="I32" s="12"/>
      <c r="J32" s="6"/>
    </row>
    <row r="33" spans="1:10">
      <c r="A33" s="8">
        <f t="shared" si="6"/>
        <v>24</v>
      </c>
      <c r="B33" s="9">
        <f t="shared" si="0"/>
        <v>41666.666666667028</v>
      </c>
      <c r="C33" s="10">
        <f t="shared" si="1"/>
        <v>0.01</v>
      </c>
      <c r="D33" s="9">
        <f>E33+F33</f>
        <v>42083.333333333336</v>
      </c>
      <c r="E33" s="9">
        <f t="shared" si="3"/>
        <v>416.66666666667027</v>
      </c>
      <c r="F33" s="11">
        <f t="shared" si="4"/>
        <v>41666.666666666664</v>
      </c>
      <c r="G33" s="11">
        <f>G32-F33</f>
        <v>3.637978807091713E-10</v>
      </c>
      <c r="I33" s="12"/>
      <c r="J33" s="6"/>
    </row>
  </sheetData>
  <mergeCells count="1">
    <mergeCell ref="A1:K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E1620-406D-4DA8-9E33-7A2DBC14CF4F}">
  <sheetPr codeName="Hoja3"/>
  <dimension ref="A1:J34"/>
  <sheetViews>
    <sheetView zoomScaleNormal="100" workbookViewId="0">
      <selection activeCell="D10" sqref="D10"/>
    </sheetView>
  </sheetViews>
  <sheetFormatPr baseColWidth="10" defaultColWidth="8.85546875" defaultRowHeight="15"/>
  <cols>
    <col min="1" max="1" width="18.7109375" customWidth="1"/>
    <col min="2" max="2" width="13.85546875" bestFit="1" customWidth="1"/>
    <col min="4" max="4" width="14.7109375" customWidth="1"/>
    <col min="5" max="5" width="12.28515625" bestFit="1" customWidth="1"/>
    <col min="6" max="7" width="13.85546875" bestFit="1" customWidth="1"/>
    <col min="9" max="9" width="12.85546875" bestFit="1" customWidth="1"/>
  </cols>
  <sheetData>
    <row r="1" spans="1:10" ht="23.25">
      <c r="A1" s="1" t="s">
        <v>14</v>
      </c>
    </row>
    <row r="3" spans="1:10" ht="30">
      <c r="A3" s="2" t="s">
        <v>0</v>
      </c>
      <c r="B3" s="3">
        <v>1000000</v>
      </c>
    </row>
    <row r="4" spans="1:10" ht="30">
      <c r="A4" s="2" t="s">
        <v>1</v>
      </c>
      <c r="B4" s="4">
        <v>0.12</v>
      </c>
    </row>
    <row r="5" spans="1:10">
      <c r="A5" s="13" t="s">
        <v>2</v>
      </c>
      <c r="B5" s="5">
        <v>24</v>
      </c>
      <c r="C5" s="5" t="s">
        <v>3</v>
      </c>
    </row>
    <row r="6" spans="1:10">
      <c r="B6" s="3"/>
      <c r="D6" s="5" t="s">
        <v>16</v>
      </c>
      <c r="F6" s="16" t="s">
        <v>15</v>
      </c>
    </row>
    <row r="7" spans="1:10">
      <c r="A7" s="7" t="s">
        <v>4</v>
      </c>
      <c r="B7" s="7" t="s">
        <v>5</v>
      </c>
      <c r="C7" s="7" t="s">
        <v>6</v>
      </c>
      <c r="D7" s="7" t="s">
        <v>7</v>
      </c>
      <c r="E7" s="7" t="s">
        <v>8</v>
      </c>
      <c r="F7" s="7" t="s">
        <v>9</v>
      </c>
      <c r="G7" s="7" t="s">
        <v>10</v>
      </c>
    </row>
    <row r="8" spans="1:10">
      <c r="A8" s="8">
        <v>0</v>
      </c>
      <c r="B8" s="9"/>
      <c r="C8" s="10"/>
      <c r="D8" s="9"/>
      <c r="E8" s="9"/>
      <c r="F8" s="11"/>
      <c r="G8" s="11">
        <v>1000000</v>
      </c>
      <c r="I8" s="12"/>
      <c r="J8" s="6"/>
    </row>
    <row r="9" spans="1:10">
      <c r="A9" s="8">
        <v>1</v>
      </c>
      <c r="B9" s="9">
        <f>G8</f>
        <v>1000000</v>
      </c>
      <c r="C9" s="10">
        <f>$B$4/12</f>
        <v>0.01</v>
      </c>
      <c r="D9" s="9">
        <f>E9+F9</f>
        <v>10000</v>
      </c>
      <c r="E9" s="9">
        <f>B9*C9</f>
        <v>10000</v>
      </c>
      <c r="F9" s="11">
        <v>0</v>
      </c>
      <c r="G9" s="11">
        <f>B9-F9</f>
        <v>1000000</v>
      </c>
      <c r="I9" s="12"/>
      <c r="J9" s="6"/>
    </row>
    <row r="10" spans="1:10">
      <c r="A10" s="8">
        <f>+A9+1</f>
        <v>2</v>
      </c>
      <c r="B10" s="9">
        <f t="shared" ref="B10:B32" si="0">G9</f>
        <v>1000000</v>
      </c>
      <c r="C10" s="10">
        <f t="shared" ref="C10:C32" si="1">$B$4/12</f>
        <v>0.01</v>
      </c>
      <c r="D10" s="9">
        <f t="shared" ref="D10:D31" si="2">E10+F10</f>
        <v>10000</v>
      </c>
      <c r="E10" s="9">
        <f t="shared" ref="E10:E31" si="3">B10*C10</f>
        <v>10000</v>
      </c>
      <c r="F10" s="11">
        <v>0</v>
      </c>
      <c r="G10" s="11">
        <f t="shared" ref="G10:G30" si="4">B10-F10</f>
        <v>1000000</v>
      </c>
      <c r="I10" s="12"/>
      <c r="J10" s="6"/>
    </row>
    <row r="11" spans="1:10">
      <c r="A11" s="8">
        <f t="shared" ref="A11:A32" si="5">+A10+1</f>
        <v>3</v>
      </c>
      <c r="B11" s="9">
        <f t="shared" si="0"/>
        <v>1000000</v>
      </c>
      <c r="C11" s="10">
        <f t="shared" si="1"/>
        <v>0.01</v>
      </c>
      <c r="D11" s="9">
        <f t="shared" si="2"/>
        <v>10000</v>
      </c>
      <c r="E11" s="9">
        <f t="shared" si="3"/>
        <v>10000</v>
      </c>
      <c r="F11" s="11">
        <v>0</v>
      </c>
      <c r="G11" s="11">
        <f t="shared" si="4"/>
        <v>1000000</v>
      </c>
      <c r="I11" s="12"/>
      <c r="J11" s="6"/>
    </row>
    <row r="12" spans="1:10">
      <c r="A12" s="8">
        <f t="shared" si="5"/>
        <v>4</v>
      </c>
      <c r="B12" s="9">
        <f t="shared" si="0"/>
        <v>1000000</v>
      </c>
      <c r="C12" s="10">
        <f t="shared" si="1"/>
        <v>0.01</v>
      </c>
      <c r="D12" s="9">
        <f t="shared" si="2"/>
        <v>10000</v>
      </c>
      <c r="E12" s="9">
        <f t="shared" si="3"/>
        <v>10000</v>
      </c>
      <c r="F12" s="11">
        <v>0</v>
      </c>
      <c r="G12" s="11">
        <f t="shared" si="4"/>
        <v>1000000</v>
      </c>
      <c r="I12" s="12"/>
      <c r="J12" s="6"/>
    </row>
    <row r="13" spans="1:10">
      <c r="A13" s="8">
        <f t="shared" si="5"/>
        <v>5</v>
      </c>
      <c r="B13" s="9">
        <f t="shared" si="0"/>
        <v>1000000</v>
      </c>
      <c r="C13" s="10">
        <f t="shared" si="1"/>
        <v>0.01</v>
      </c>
      <c r="D13" s="9">
        <f t="shared" si="2"/>
        <v>10000</v>
      </c>
      <c r="E13" s="9">
        <f t="shared" si="3"/>
        <v>10000</v>
      </c>
      <c r="F13" s="11">
        <v>0</v>
      </c>
      <c r="G13" s="11">
        <f t="shared" si="4"/>
        <v>1000000</v>
      </c>
      <c r="I13" s="12"/>
      <c r="J13" s="6"/>
    </row>
    <row r="14" spans="1:10">
      <c r="A14" s="8">
        <f t="shared" si="5"/>
        <v>6</v>
      </c>
      <c r="B14" s="9">
        <f t="shared" si="0"/>
        <v>1000000</v>
      </c>
      <c r="C14" s="10">
        <f t="shared" si="1"/>
        <v>0.01</v>
      </c>
      <c r="D14" s="9">
        <f t="shared" si="2"/>
        <v>10000</v>
      </c>
      <c r="E14" s="9">
        <f t="shared" si="3"/>
        <v>10000</v>
      </c>
      <c r="F14" s="11">
        <v>0</v>
      </c>
      <c r="G14" s="11">
        <f t="shared" si="4"/>
        <v>1000000</v>
      </c>
      <c r="I14" s="12"/>
      <c r="J14" s="6"/>
    </row>
    <row r="15" spans="1:10">
      <c r="A15" s="8">
        <f t="shared" si="5"/>
        <v>7</v>
      </c>
      <c r="B15" s="9">
        <f t="shared" si="0"/>
        <v>1000000</v>
      </c>
      <c r="C15" s="10">
        <f t="shared" si="1"/>
        <v>0.01</v>
      </c>
      <c r="D15" s="9">
        <f t="shared" si="2"/>
        <v>10000</v>
      </c>
      <c r="E15" s="9">
        <f t="shared" si="3"/>
        <v>10000</v>
      </c>
      <c r="F15" s="11">
        <v>0</v>
      </c>
      <c r="G15" s="11">
        <f t="shared" si="4"/>
        <v>1000000</v>
      </c>
      <c r="I15" s="12"/>
      <c r="J15" s="6"/>
    </row>
    <row r="16" spans="1:10">
      <c r="A16" s="8">
        <f t="shared" si="5"/>
        <v>8</v>
      </c>
      <c r="B16" s="9">
        <f t="shared" si="0"/>
        <v>1000000</v>
      </c>
      <c r="C16" s="10">
        <f t="shared" si="1"/>
        <v>0.01</v>
      </c>
      <c r="D16" s="9">
        <f t="shared" si="2"/>
        <v>10000</v>
      </c>
      <c r="E16" s="9">
        <f t="shared" si="3"/>
        <v>10000</v>
      </c>
      <c r="F16" s="11">
        <v>0</v>
      </c>
      <c r="G16" s="11">
        <f t="shared" si="4"/>
        <v>1000000</v>
      </c>
      <c r="I16" s="12"/>
      <c r="J16" s="6"/>
    </row>
    <row r="17" spans="1:10">
      <c r="A17" s="8">
        <f t="shared" si="5"/>
        <v>9</v>
      </c>
      <c r="B17" s="9">
        <f t="shared" si="0"/>
        <v>1000000</v>
      </c>
      <c r="C17" s="10">
        <f t="shared" si="1"/>
        <v>0.01</v>
      </c>
      <c r="D17" s="9">
        <f t="shared" si="2"/>
        <v>10000</v>
      </c>
      <c r="E17" s="9">
        <f t="shared" si="3"/>
        <v>10000</v>
      </c>
      <c r="F17" s="11">
        <v>0</v>
      </c>
      <c r="G17" s="11">
        <f t="shared" si="4"/>
        <v>1000000</v>
      </c>
      <c r="I17" s="12"/>
      <c r="J17" s="6"/>
    </row>
    <row r="18" spans="1:10">
      <c r="A18" s="8">
        <f t="shared" si="5"/>
        <v>10</v>
      </c>
      <c r="B18" s="9">
        <f t="shared" si="0"/>
        <v>1000000</v>
      </c>
      <c r="C18" s="10">
        <f t="shared" si="1"/>
        <v>0.01</v>
      </c>
      <c r="D18" s="9">
        <f t="shared" si="2"/>
        <v>10000</v>
      </c>
      <c r="E18" s="9">
        <f t="shared" si="3"/>
        <v>10000</v>
      </c>
      <c r="F18" s="11">
        <v>0</v>
      </c>
      <c r="G18" s="11">
        <f t="shared" si="4"/>
        <v>1000000</v>
      </c>
      <c r="I18" s="12"/>
      <c r="J18" s="6"/>
    </row>
    <row r="19" spans="1:10">
      <c r="A19" s="8">
        <f t="shared" si="5"/>
        <v>11</v>
      </c>
      <c r="B19" s="9">
        <f t="shared" si="0"/>
        <v>1000000</v>
      </c>
      <c r="C19" s="10">
        <f t="shared" si="1"/>
        <v>0.01</v>
      </c>
      <c r="D19" s="9">
        <f t="shared" si="2"/>
        <v>10000</v>
      </c>
      <c r="E19" s="9">
        <f t="shared" si="3"/>
        <v>10000</v>
      </c>
      <c r="F19" s="11">
        <v>0</v>
      </c>
      <c r="G19" s="11">
        <f t="shared" si="4"/>
        <v>1000000</v>
      </c>
      <c r="I19" s="12"/>
      <c r="J19" s="6"/>
    </row>
    <row r="20" spans="1:10">
      <c r="A20" s="8">
        <f t="shared" si="5"/>
        <v>12</v>
      </c>
      <c r="B20" s="9">
        <f t="shared" si="0"/>
        <v>1000000</v>
      </c>
      <c r="C20" s="10">
        <f t="shared" si="1"/>
        <v>0.01</v>
      </c>
      <c r="D20" s="9">
        <f t="shared" si="2"/>
        <v>10000</v>
      </c>
      <c r="E20" s="9">
        <f t="shared" si="3"/>
        <v>10000</v>
      </c>
      <c r="F20" s="11">
        <v>0</v>
      </c>
      <c r="G20" s="11">
        <f t="shared" si="4"/>
        <v>1000000</v>
      </c>
      <c r="I20" s="12"/>
      <c r="J20" s="6"/>
    </row>
    <row r="21" spans="1:10">
      <c r="A21" s="8">
        <f t="shared" si="5"/>
        <v>13</v>
      </c>
      <c r="B21" s="9">
        <f t="shared" si="0"/>
        <v>1000000</v>
      </c>
      <c r="C21" s="10">
        <f t="shared" si="1"/>
        <v>0.01</v>
      </c>
      <c r="D21" s="9">
        <f t="shared" si="2"/>
        <v>10000</v>
      </c>
      <c r="E21" s="9">
        <f t="shared" si="3"/>
        <v>10000</v>
      </c>
      <c r="F21" s="11">
        <v>0</v>
      </c>
      <c r="G21" s="11">
        <f t="shared" si="4"/>
        <v>1000000</v>
      </c>
      <c r="I21" s="12"/>
      <c r="J21" s="6"/>
    </row>
    <row r="22" spans="1:10">
      <c r="A22" s="8">
        <f t="shared" si="5"/>
        <v>14</v>
      </c>
      <c r="B22" s="9">
        <f t="shared" si="0"/>
        <v>1000000</v>
      </c>
      <c r="C22" s="10">
        <f t="shared" si="1"/>
        <v>0.01</v>
      </c>
      <c r="D22" s="9">
        <f t="shared" si="2"/>
        <v>10000</v>
      </c>
      <c r="E22" s="9">
        <f t="shared" si="3"/>
        <v>10000</v>
      </c>
      <c r="F22" s="11">
        <v>0</v>
      </c>
      <c r="G22" s="11">
        <f t="shared" si="4"/>
        <v>1000000</v>
      </c>
      <c r="I22" s="12"/>
      <c r="J22" s="6"/>
    </row>
    <row r="23" spans="1:10">
      <c r="A23" s="8">
        <f t="shared" si="5"/>
        <v>15</v>
      </c>
      <c r="B23" s="9">
        <f t="shared" si="0"/>
        <v>1000000</v>
      </c>
      <c r="C23" s="10">
        <f t="shared" si="1"/>
        <v>0.01</v>
      </c>
      <c r="D23" s="9">
        <f t="shared" si="2"/>
        <v>10000</v>
      </c>
      <c r="E23" s="9">
        <f t="shared" si="3"/>
        <v>10000</v>
      </c>
      <c r="F23" s="11">
        <v>0</v>
      </c>
      <c r="G23" s="11">
        <f t="shared" si="4"/>
        <v>1000000</v>
      </c>
      <c r="I23" s="12"/>
      <c r="J23" s="6"/>
    </row>
    <row r="24" spans="1:10">
      <c r="A24" s="8">
        <f t="shared" si="5"/>
        <v>16</v>
      </c>
      <c r="B24" s="9">
        <f t="shared" si="0"/>
        <v>1000000</v>
      </c>
      <c r="C24" s="10">
        <f t="shared" si="1"/>
        <v>0.01</v>
      </c>
      <c r="D24" s="9">
        <f t="shared" si="2"/>
        <v>10000</v>
      </c>
      <c r="E24" s="9">
        <f t="shared" si="3"/>
        <v>10000</v>
      </c>
      <c r="F24" s="11">
        <v>0</v>
      </c>
      <c r="G24" s="11">
        <f t="shared" si="4"/>
        <v>1000000</v>
      </c>
      <c r="I24" s="12"/>
      <c r="J24" s="6"/>
    </row>
    <row r="25" spans="1:10">
      <c r="A25" s="8">
        <f t="shared" si="5"/>
        <v>17</v>
      </c>
      <c r="B25" s="9">
        <f t="shared" si="0"/>
        <v>1000000</v>
      </c>
      <c r="C25" s="10">
        <f t="shared" si="1"/>
        <v>0.01</v>
      </c>
      <c r="D25" s="9">
        <f t="shared" si="2"/>
        <v>10000</v>
      </c>
      <c r="E25" s="9">
        <f t="shared" si="3"/>
        <v>10000</v>
      </c>
      <c r="F25" s="11">
        <v>0</v>
      </c>
      <c r="G25" s="11">
        <f t="shared" si="4"/>
        <v>1000000</v>
      </c>
      <c r="I25" s="12"/>
      <c r="J25" s="6"/>
    </row>
    <row r="26" spans="1:10">
      <c r="A26" s="8">
        <f t="shared" si="5"/>
        <v>18</v>
      </c>
      <c r="B26" s="9">
        <f t="shared" si="0"/>
        <v>1000000</v>
      </c>
      <c r="C26" s="10">
        <f t="shared" si="1"/>
        <v>0.01</v>
      </c>
      <c r="D26" s="9">
        <f t="shared" si="2"/>
        <v>10000</v>
      </c>
      <c r="E26" s="9">
        <f t="shared" si="3"/>
        <v>10000</v>
      </c>
      <c r="F26" s="11">
        <v>0</v>
      </c>
      <c r="G26" s="11">
        <f t="shared" si="4"/>
        <v>1000000</v>
      </c>
      <c r="I26" s="12"/>
      <c r="J26" s="6"/>
    </row>
    <row r="27" spans="1:10">
      <c r="A27" s="8">
        <f t="shared" si="5"/>
        <v>19</v>
      </c>
      <c r="B27" s="9">
        <f t="shared" si="0"/>
        <v>1000000</v>
      </c>
      <c r="C27" s="10">
        <f t="shared" si="1"/>
        <v>0.01</v>
      </c>
      <c r="D27" s="9">
        <f t="shared" si="2"/>
        <v>10000</v>
      </c>
      <c r="E27" s="9">
        <f t="shared" si="3"/>
        <v>10000</v>
      </c>
      <c r="F27" s="11">
        <v>0</v>
      </c>
      <c r="G27" s="11">
        <f t="shared" si="4"/>
        <v>1000000</v>
      </c>
      <c r="I27" s="12"/>
      <c r="J27" s="6"/>
    </row>
    <row r="28" spans="1:10">
      <c r="A28" s="8">
        <f t="shared" si="5"/>
        <v>20</v>
      </c>
      <c r="B28" s="9">
        <f t="shared" si="0"/>
        <v>1000000</v>
      </c>
      <c r="C28" s="10">
        <f t="shared" si="1"/>
        <v>0.01</v>
      </c>
      <c r="D28" s="9">
        <f t="shared" si="2"/>
        <v>10000</v>
      </c>
      <c r="E28" s="9">
        <f t="shared" si="3"/>
        <v>10000</v>
      </c>
      <c r="F28" s="11">
        <v>0</v>
      </c>
      <c r="G28" s="11">
        <f t="shared" si="4"/>
        <v>1000000</v>
      </c>
      <c r="I28" s="12"/>
      <c r="J28" s="6"/>
    </row>
    <row r="29" spans="1:10">
      <c r="A29" s="8">
        <f t="shared" si="5"/>
        <v>21</v>
      </c>
      <c r="B29" s="9">
        <f t="shared" si="0"/>
        <v>1000000</v>
      </c>
      <c r="C29" s="10">
        <f t="shared" si="1"/>
        <v>0.01</v>
      </c>
      <c r="D29" s="9">
        <f t="shared" si="2"/>
        <v>10000</v>
      </c>
      <c r="E29" s="9">
        <f t="shared" si="3"/>
        <v>10000</v>
      </c>
      <c r="F29" s="11">
        <v>0</v>
      </c>
      <c r="G29" s="11">
        <f t="shared" si="4"/>
        <v>1000000</v>
      </c>
      <c r="I29" s="12"/>
      <c r="J29" s="6"/>
    </row>
    <row r="30" spans="1:10">
      <c r="A30" s="8">
        <f t="shared" si="5"/>
        <v>22</v>
      </c>
      <c r="B30" s="9">
        <f t="shared" si="0"/>
        <v>1000000</v>
      </c>
      <c r="C30" s="10">
        <f t="shared" si="1"/>
        <v>0.01</v>
      </c>
      <c r="D30" s="9">
        <f t="shared" si="2"/>
        <v>10000</v>
      </c>
      <c r="E30" s="9">
        <f t="shared" si="3"/>
        <v>10000</v>
      </c>
      <c r="F30" s="11">
        <v>0</v>
      </c>
      <c r="G30" s="11">
        <f t="shared" si="4"/>
        <v>1000000</v>
      </c>
      <c r="I30" s="12"/>
      <c r="J30" s="6"/>
    </row>
    <row r="31" spans="1:10">
      <c r="A31" s="8">
        <f t="shared" si="5"/>
        <v>23</v>
      </c>
      <c r="B31" s="9">
        <f t="shared" si="0"/>
        <v>1000000</v>
      </c>
      <c r="C31" s="10">
        <f t="shared" si="1"/>
        <v>0.01</v>
      </c>
      <c r="D31" s="9">
        <f t="shared" si="2"/>
        <v>10000</v>
      </c>
      <c r="E31" s="9">
        <f t="shared" si="3"/>
        <v>10000</v>
      </c>
      <c r="F31" s="11">
        <v>0</v>
      </c>
      <c r="G31" s="11">
        <f>B31-F31</f>
        <v>1000000</v>
      </c>
      <c r="I31" s="12"/>
      <c r="J31" s="6"/>
    </row>
    <row r="32" spans="1:10">
      <c r="A32" s="8">
        <f t="shared" si="5"/>
        <v>24</v>
      </c>
      <c r="B32" s="9">
        <f t="shared" si="0"/>
        <v>1000000</v>
      </c>
      <c r="C32" s="10">
        <f t="shared" si="1"/>
        <v>0.01</v>
      </c>
      <c r="D32" s="9">
        <f>E32+F32</f>
        <v>1010000</v>
      </c>
      <c r="E32" s="9">
        <f>B32*C32</f>
        <v>10000</v>
      </c>
      <c r="F32" s="11">
        <v>1000000</v>
      </c>
      <c r="G32" s="11">
        <f>B32-F32</f>
        <v>0</v>
      </c>
      <c r="I32" s="12"/>
      <c r="J32" s="6"/>
    </row>
    <row r="34" spans="5:5">
      <c r="E34" s="6">
        <f>SUM(E9:E32)</f>
        <v>240000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Pagos Constantes</vt:lpstr>
      <vt:lpstr>Pagos Decrecientes</vt:lpstr>
      <vt:lpstr>Bullet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2024-03-31T22:01:47Z</dcterms:created>
  <dcterms:modified xsi:type="dcterms:W3CDTF">2025-05-26T03:31:10Z</dcterms:modified>
</cp:coreProperties>
</file>