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t\OneDrive\Escritorio\Actuaria Acatlan\Administracion De Riesgos\"/>
    </mc:Choice>
  </mc:AlternateContent>
  <xr:revisionPtr revIDLastSave="0" documentId="13_ncr:1_{DF603E61-E3BC-42E8-824D-F439A1FFDF7B}" xr6:coauthVersionLast="47" xr6:coauthVersionMax="47" xr10:uidLastSave="{00000000-0000-0000-0000-000000000000}"/>
  <bookViews>
    <workbookView xWindow="-120" yWindow="-120" windowWidth="29040" windowHeight="15720" activeTab="1" xr2:uid="{CF893460-09D3-4FE7-B9BA-EAA91C1C2B49}"/>
  </bookViews>
  <sheets>
    <sheet name="Información PI" sheetId="8" r:id="rId1"/>
    <sheet name="PI" sheetId="2" r:id="rId2"/>
    <sheet name="SP" sheetId="4" state="hidden" r:id="rId3"/>
    <sheet name="Reservas" sheetId="7" r:id="rId4"/>
  </sheets>
  <functionGroups builtInGroupCount="19"/>
  <definedNames>
    <definedName name="matriz">'Información PI'!$A$4:$F$17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7" l="1"/>
  <c r="O5" i="7" s="1"/>
  <c r="S12" i="7"/>
  <c r="O12" i="7"/>
  <c r="Q5" i="7"/>
  <c r="E12" i="7"/>
  <c r="P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9" i="2"/>
  <c r="Q9" i="2"/>
  <c r="N5" i="7" a="1"/>
  <c r="N5" i="7" l="1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O8" i="7"/>
  <c r="O9" i="7"/>
  <c r="O14" i="7"/>
  <c r="M6" i="7"/>
  <c r="O6" i="7" s="1"/>
  <c r="M7" i="7"/>
  <c r="O7" i="7" s="1"/>
  <c r="M8" i="7"/>
  <c r="M9" i="7"/>
  <c r="M10" i="7"/>
  <c r="O10" i="7" s="1"/>
  <c r="M11" i="7"/>
  <c r="O11" i="7" s="1"/>
  <c r="M12" i="7"/>
  <c r="M13" i="7"/>
  <c r="O13" i="7" s="1"/>
  <c r="M14" i="7"/>
  <c r="M15" i="7"/>
  <c r="O15" i="7" s="1"/>
  <c r="M16" i="7"/>
  <c r="O16" i="7" s="1"/>
  <c r="M17" i="7"/>
  <c r="O17" i="7" s="1"/>
  <c r="M18" i="7"/>
  <c r="O18" i="7" s="1"/>
  <c r="M19" i="7"/>
  <c r="O19" i="7" s="1"/>
  <c r="M20" i="7"/>
  <c r="O20" i="7" s="1"/>
  <c r="M21" i="7"/>
  <c r="O21" i="7" s="1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5" i="7"/>
  <c r="Q11" i="2"/>
  <c r="Q12" i="2"/>
  <c r="Q13" i="2"/>
  <c r="Q14" i="2"/>
  <c r="Q15" i="2"/>
  <c r="Q16" i="2"/>
  <c r="Q17" i="2"/>
  <c r="Q18" i="2"/>
  <c r="Q19" i="2"/>
  <c r="Q20" i="2"/>
  <c r="Q21" i="2"/>
  <c r="Q22" i="2"/>
  <c r="P5" i="7"/>
  <c r="P11" i="2"/>
  <c r="P12" i="2"/>
  <c r="P13" i="2"/>
  <c r="P14" i="2"/>
  <c r="P15" i="2"/>
  <c r="P16" i="2"/>
  <c r="P17" i="2"/>
  <c r="P18" i="2"/>
  <c r="P19" i="2"/>
  <c r="P20" i="2"/>
  <c r="P21" i="2"/>
  <c r="P22" i="2"/>
  <c r="K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I11" i="2"/>
  <c r="I12" i="2"/>
  <c r="I13" i="2"/>
  <c r="I14" i="2"/>
  <c r="I15" i="2"/>
  <c r="I16" i="2"/>
  <c r="I17" i="2"/>
  <c r="I18" i="2"/>
  <c r="I19" i="2"/>
  <c r="I20" i="2"/>
  <c r="I21" i="2"/>
  <c r="I22" i="2"/>
  <c r="I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9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1" i="7"/>
  <c r="E20" i="7"/>
  <c r="E19" i="7"/>
  <c r="E18" i="7"/>
  <c r="E17" i="7"/>
  <c r="E16" i="7"/>
  <c r="E15" i="7"/>
  <c r="E14" i="7"/>
  <c r="E13" i="7"/>
  <c r="E11" i="7"/>
  <c r="E10" i="7"/>
  <c r="E9" i="7"/>
  <c r="E8" i="7"/>
  <c r="E7" i="7"/>
  <c r="E6" i="7"/>
  <c r="E5" i="7"/>
  <c r="N6" i="7" a="1"/>
  <c r="N8" i="7" a="1"/>
  <c r="N12" i="7" a="1"/>
  <c r="N13" i="7" a="1"/>
  <c r="N11" i="7" a="1"/>
  <c r="N7" i="7" a="1"/>
  <c r="N18" i="7" a="1"/>
  <c r="N9" i="7" a="1"/>
  <c r="N20" i="7" a="1"/>
  <c r="N14" i="7" a="1"/>
  <c r="N21" i="7" a="1"/>
  <c r="N10" i="7" a="1"/>
  <c r="N19" i="7" a="1"/>
  <c r="N17" i="7" a="1"/>
  <c r="N15" i="7" a="1"/>
  <c r="N16" i="7" a="1"/>
  <c r="R5" i="7" a="1"/>
  <c r="R5" i="7" l="1"/>
  <c r="S5" i="7" s="1"/>
  <c r="N21" i="7"/>
  <c r="N9" i="7"/>
  <c r="N11" i="7"/>
  <c r="N8" i="7"/>
  <c r="N17" i="7"/>
  <c r="N16" i="7"/>
  <c r="N15" i="7"/>
  <c r="N19" i="7"/>
  <c r="N13" i="7"/>
  <c r="N7" i="7"/>
  <c r="N20" i="7"/>
  <c r="N10" i="7"/>
  <c r="N14" i="7"/>
  <c r="N18" i="7"/>
  <c r="N12" i="7"/>
  <c r="N6" i="7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R13" i="7" a="1"/>
  <c r="R20" i="7" a="1"/>
  <c r="R14" i="7" a="1"/>
  <c r="R11" i="7" a="1"/>
  <c r="R17" i="7" a="1"/>
  <c r="R7" i="7" a="1"/>
  <c r="R10" i="7" a="1"/>
  <c r="R21" i="7" a="1"/>
  <c r="R9" i="7" a="1"/>
  <c r="R18" i="7" a="1"/>
  <c r="R12" i="7" a="1"/>
  <c r="R8" i="7" a="1"/>
  <c r="R15" i="7" a="1"/>
  <c r="R16" i="7" a="1"/>
  <c r="R19" i="7" a="1"/>
  <c r="R19" i="7" l="1"/>
  <c r="S19" i="7" s="1"/>
  <c r="T19" i="7" s="1"/>
  <c r="R16" i="7"/>
  <c r="S16" i="7" s="1"/>
  <c r="T16" i="7" s="1"/>
  <c r="R15" i="7"/>
  <c r="S15" i="7" s="1"/>
  <c r="T15" i="7" s="1"/>
  <c r="R8" i="7"/>
  <c r="S8" i="7" s="1"/>
  <c r="T8" i="7" s="1"/>
  <c r="R12" i="7"/>
  <c r="R18" i="7"/>
  <c r="S18" i="7" s="1"/>
  <c r="T18" i="7" s="1"/>
  <c r="R9" i="7"/>
  <c r="S9" i="7" s="1"/>
  <c r="T9" i="7" s="1"/>
  <c r="R21" i="7"/>
  <c r="S21" i="7" s="1"/>
  <c r="T21" i="7" s="1"/>
  <c r="R10" i="7"/>
  <c r="S10" i="7" s="1"/>
  <c r="T10" i="7" s="1"/>
  <c r="R7" i="7"/>
  <c r="S7" i="7" s="1"/>
  <c r="T7" i="7" s="1"/>
  <c r="R17" i="7"/>
  <c r="S17" i="7" s="1"/>
  <c r="T17" i="7" s="1"/>
  <c r="R11" i="7"/>
  <c r="S11" i="7" s="1"/>
  <c r="T11" i="7" s="1"/>
  <c r="R14" i="7"/>
  <c r="S14" i="7" s="1"/>
  <c r="T14" i="7" s="1"/>
  <c r="R20" i="7"/>
  <c r="S20" i="7" s="1"/>
  <c r="T20" i="7" s="1"/>
  <c r="R13" i="7"/>
  <c r="S13" i="7" s="1"/>
  <c r="T13" i="7" s="1"/>
  <c r="T5" i="7"/>
  <c r="F16" i="2"/>
  <c r="H16" i="2"/>
  <c r="J16" i="2"/>
  <c r="L16" i="2"/>
  <c r="N16" i="2"/>
  <c r="H22" i="2"/>
  <c r="F22" i="2"/>
  <c r="N20" i="2"/>
  <c r="L20" i="2"/>
  <c r="N19" i="2"/>
  <c r="F15" i="2"/>
  <c r="N13" i="2"/>
  <c r="L13" i="2"/>
  <c r="N12" i="2"/>
  <c r="L12" i="2"/>
  <c r="J12" i="2"/>
  <c r="F12" i="2"/>
  <c r="H12" i="2"/>
  <c r="H11" i="2"/>
  <c r="L11" i="2"/>
  <c r="J10" i="2"/>
  <c r="P10" i="2" s="1"/>
  <c r="Q10" i="2" s="1"/>
  <c r="P6" i="7" s="1"/>
  <c r="F10" i="2"/>
  <c r="H9" i="2"/>
  <c r="R6" i="7" a="1"/>
  <c r="T12" i="7" l="1"/>
  <c r="R6" i="7"/>
  <c r="S6" i="7" s="1"/>
  <c r="T6" i="7" s="1"/>
  <c r="L14" i="2"/>
  <c r="J14" i="2"/>
  <c r="H14" i="2"/>
  <c r="F14" i="2"/>
  <c r="N14" i="2"/>
  <c r="N18" i="2"/>
  <c r="L18" i="2"/>
  <c r="J18" i="2"/>
  <c r="H18" i="2"/>
  <c r="F18" i="2"/>
  <c r="J11" i="2"/>
  <c r="N21" i="2"/>
  <c r="L21" i="2"/>
  <c r="J21" i="2"/>
  <c r="H21" i="2"/>
  <c r="F21" i="2"/>
  <c r="F9" i="2"/>
  <c r="N15" i="2"/>
  <c r="L15" i="2"/>
  <c r="J15" i="2"/>
  <c r="H15" i="2"/>
  <c r="L17" i="2"/>
  <c r="J17" i="2"/>
  <c r="H17" i="2"/>
  <c r="F17" i="2"/>
  <c r="N17" i="2"/>
  <c r="L9" i="2"/>
  <c r="N10" i="2"/>
  <c r="L10" i="2"/>
  <c r="J13" i="2"/>
  <c r="F13" i="2"/>
  <c r="N9" i="2"/>
  <c r="J9" i="2"/>
  <c r="F11" i="2"/>
  <c r="N11" i="2"/>
  <c r="H10" i="2"/>
  <c r="H13" i="2"/>
  <c r="F20" i="2"/>
  <c r="J22" i="2"/>
  <c r="F19" i="2"/>
  <c r="H20" i="2"/>
  <c r="L22" i="2"/>
  <c r="H19" i="2"/>
  <c r="J20" i="2"/>
  <c r="N22" i="2"/>
  <c r="J19" i="2"/>
  <c r="L1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<sst xmlns="http://schemas.openxmlformats.org/spreadsheetml/2006/main" count="151" uniqueCount="81">
  <si>
    <t>Periodo</t>
  </si>
  <si>
    <t>ID_Persona</t>
  </si>
  <si>
    <t>Sector</t>
  </si>
  <si>
    <t>Indicador</t>
  </si>
  <si>
    <t>Puntaje</t>
  </si>
  <si>
    <t>Alfa</t>
  </si>
  <si>
    <t>Puntaje Crediticio Total</t>
  </si>
  <si>
    <t xml:space="preserve">PI </t>
  </si>
  <si>
    <t>A</t>
  </si>
  <si>
    <t>E</t>
  </si>
  <si>
    <t>M</t>
  </si>
  <si>
    <t>C</t>
  </si>
  <si>
    <t>S</t>
  </si>
  <si>
    <t>Sin información</t>
  </si>
  <si>
    <t>Porcentaje de pagos en tiempo con entidades financieras bancarias en los últimos 12 meses</t>
  </si>
  <si>
    <t>Porcentaje de pagos en tiempo con entidades financieras no bancarias en los últimos 12 meses</t>
  </si>
  <si>
    <t>Presencia de quitas, castigos y reestructuras con entidades financieras bancarias en los últimos 12 meses
1 Sí 
0 No</t>
  </si>
  <si>
    <t>Máximo número de atrasos presentado en los últimos 4 meses considerando el mes de calificación</t>
  </si>
  <si>
    <t>Promedio de días de mora de todos los créditos del acreditado a la fecha de calificación</t>
  </si>
  <si>
    <t>Puntaje crediticio total</t>
  </si>
  <si>
    <t>Cliente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</si>
  <si>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</si>
  <si>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</si>
  <si>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</si>
  <si>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</si>
  <si>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</si>
  <si>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</si>
  <si>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</si>
  <si>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</si>
  <si>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</si>
  <si>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</si>
  <si>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</si>
  <si>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</si>
  <si>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</si>
  <si>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</si>
  <si>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SP</t>
  </si>
  <si>
    <t>A0001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</si>
  <si>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</si>
  <si>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</si>
  <si>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</si>
  <si>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</si>
  <si>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</si>
  <si>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</si>
  <si>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</si>
  <si>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</si>
  <si>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</si>
  <si>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A0011</t>
  </si>
  <si>
    <t>A0012</t>
  </si>
  <si>
    <t>A0013</t>
  </si>
  <si>
    <t>A0014</t>
  </si>
  <si>
    <t>A0015</t>
  </si>
  <si>
    <t>A0016</t>
  </si>
  <si>
    <t>A0017</t>
  </si>
  <si>
    <t>No. De Cliente</t>
  </si>
  <si>
    <t>No. De Crédito</t>
  </si>
  <si>
    <t>Días de 
Atraso</t>
  </si>
  <si>
    <t>Etapa</t>
  </si>
  <si>
    <t>Tasa Efectiva</t>
  </si>
  <si>
    <t>Saldo Original del Crédito</t>
  </si>
  <si>
    <t>MESES DE 
ATRASO</t>
  </si>
  <si>
    <t>Tasa de Interés</t>
  </si>
  <si>
    <t>Pago</t>
  </si>
  <si>
    <t>Reserva</t>
  </si>
  <si>
    <t>PI</t>
  </si>
  <si>
    <t>Meses de Atraso</t>
  </si>
  <si>
    <t>Saldo Insoluto (SI)</t>
  </si>
  <si>
    <t>Número de Pagos Vencidos</t>
  </si>
  <si>
    <t>Monto Vencido</t>
  </si>
  <si>
    <t>Información de Clientes para determinación de la PI</t>
  </si>
  <si>
    <t>Determinación de la Probabilidad de Incumplimiento (PI)</t>
  </si>
  <si>
    <t>Determinación de Reservas por Riesgo de Crédito</t>
  </si>
  <si>
    <t>Plazo del Crédito
(meses)</t>
  </si>
  <si>
    <t>Plazo Remanente
(meses)</t>
  </si>
  <si>
    <t>Reserva Total
(Final)</t>
  </si>
  <si>
    <t>%</t>
  </si>
  <si>
    <t>30/03/2025</t>
  </si>
  <si>
    <t>E1 = Se consideran 12 meses para el calculo de Reserva</t>
  </si>
  <si>
    <t>E2 y E3 = Es a tiempo de vida</t>
  </si>
  <si>
    <t>Por Reservar al 100%</t>
  </si>
  <si>
    <r>
      <rPr>
        <sz val="8"/>
        <rFont val="EYInterstate Light"/>
      </rPr>
      <t xml:space="preserve">Porcentaje de </t>
    </r>
    <r>
      <rPr>
        <b/>
        <sz val="9"/>
        <rFont val="EYInterstate Light"/>
      </rPr>
      <t>pagos en tiempo con entidades financieras bancarias</t>
    </r>
    <r>
      <rPr>
        <sz val="8"/>
        <rFont val="EYInterstate Light"/>
      </rPr>
      <t xml:space="preserve"> en los últimos 12 meses</t>
    </r>
  </si>
  <si>
    <r>
      <rPr>
        <sz val="8"/>
        <rFont val="EYInterstate Light"/>
      </rPr>
      <t xml:space="preserve">Porcentaje de </t>
    </r>
    <r>
      <rPr>
        <b/>
        <i/>
        <sz val="8"/>
        <rFont val="EYInterstate Light"/>
      </rPr>
      <t>pagos en tiempo con entidades financieras no bancarias</t>
    </r>
    <r>
      <rPr>
        <sz val="8"/>
        <rFont val="EYInterstate Light"/>
      </rPr>
      <t xml:space="preserve"> en los últimos 12 meses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</si>
</sst>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"/>
    <numFmt numFmtId="166" formatCode="0.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0"/>
      <name val="Montserrat"/>
    </font>
    <font>
      <sz val="11"/>
      <color theme="1"/>
      <name val="Calibri"/>
      <family val="2"/>
    </font>
    <font>
      <sz val="8"/>
      <color theme="1"/>
      <name val="Montserrat"/>
    </font>
    <font>
      <sz val="8"/>
      <color theme="1"/>
      <name val="Calibri"/>
      <family val="2"/>
      <scheme val="minor"/>
    </font>
    <font>
      <sz val="9"/>
      <color theme="1"/>
      <name val="Montserrat"/>
    </font>
    <font>
      <sz val="10"/>
      <color theme="1"/>
      <name val="Calibri"/>
      <family val="2"/>
      <scheme val="minor"/>
    </font>
    <font>
      <b/>
      <sz val="8"/>
      <name val="EYInterstate Light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EYInterstate Light"/>
    </font>
    <font>
      <b/>
      <sz val="9"/>
      <name val="EYInterstate Light"/>
    </font>
    <font>
      <b/>
      <i/>
      <sz val="8"/>
      <name val="EYInterstate Light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2">
    <xf numFmtId="0" fontId="0" fillId="0" borderId="0" xfId="0"/>
    <xf numFmtId="0" fontId="6" fillId="0" borderId="0" xfId="0" applyFont="1" applyAlignment="1">
      <alignment vertical="center"/>
    </xf>
    <xf numFmtId="9" fontId="6" fillId="0" borderId="0" xfId="3" applyFont="1" applyFill="1" applyAlignment="1">
      <alignment vertical="center"/>
    </xf>
    <xf numFmtId="0" fontId="7" fillId="0" borderId="4" xfId="0" applyFont="1" applyBorder="1" applyAlignment="1">
      <alignment horizontal="center" vertical="center" wrapText="1"/>
    </xf>
    <xf numFmtId="14" fontId="8" fillId="0" borderId="6" xfId="0" quotePrefix="1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7" xfId="6" applyNumberFormat="1" applyFont="1" applyFill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1" fontId="8" fillId="3" borderId="7" xfId="6" applyNumberFormat="1" applyFont="1" applyFill="1" applyBorder="1" applyAlignment="1">
      <alignment horizontal="center" vertical="center"/>
    </xf>
    <xf numFmtId="165" fontId="8" fillId="0" borderId="7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8" fillId="0" borderId="3" xfId="6" applyNumberFormat="1" applyFont="1" applyFill="1" applyBorder="1" applyAlignment="1">
      <alignment horizontal="center" vertical="center"/>
    </xf>
    <xf numFmtId="9" fontId="9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7" borderId="7" xfId="0" applyNumberFormat="1" applyFont="1" applyFill="1" applyBorder="1" applyAlignment="1">
      <alignment horizontal="center" vertical="center"/>
    </xf>
    <xf numFmtId="44" fontId="0" fillId="7" borderId="0" xfId="2" applyFont="1" applyFill="1"/>
    <xf numFmtId="0" fontId="8" fillId="7" borderId="7" xfId="0" applyFont="1" applyFill="1" applyBorder="1" applyAlignment="1">
      <alignment horizontal="center" vertical="center"/>
    </xf>
    <xf numFmtId="10" fontId="0" fillId="7" borderId="0" xfId="3" applyNumberFormat="1" applyFont="1" applyFill="1"/>
    <xf numFmtId="0" fontId="0" fillId="7" borderId="0" xfId="0" applyFill="1" applyAlignment="1">
      <alignment horizontal="center"/>
    </xf>
    <xf numFmtId="0" fontId="8" fillId="7" borderId="0" xfId="0" applyFont="1" applyFill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166" fontId="8" fillId="7" borderId="7" xfId="0" applyNumberFormat="1" applyFont="1" applyFill="1" applyBorder="1" applyAlignment="1">
      <alignment horizontal="center" vertical="center"/>
    </xf>
    <xf numFmtId="8" fontId="0" fillId="8" borderId="0" xfId="0" applyNumberFormat="1" applyFill="1"/>
    <xf numFmtId="44" fontId="0" fillId="8" borderId="0" xfId="2" applyFont="1" applyFill="1"/>
    <xf numFmtId="10" fontId="0" fillId="8" borderId="0" xfId="3" applyNumberFormat="1" applyFont="1" applyFill="1" applyAlignment="1">
      <alignment horizontal="center"/>
    </xf>
    <xf numFmtId="43" fontId="0" fillId="8" borderId="0" xfId="1" applyFont="1" applyFill="1"/>
    <xf numFmtId="1" fontId="8" fillId="8" borderId="7" xfId="0" applyNumberFormat="1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quotePrefix="1"/>
    <xf numFmtId="9" fontId="14" fillId="8" borderId="0" xfId="3" applyFont="1" applyFill="1" applyAlignment="1">
      <alignment horizontal="center"/>
    </xf>
    <xf numFmtId="43" fontId="15" fillId="8" borderId="0" xfId="1" applyFont="1" applyFill="1"/>
    <xf numFmtId="166" fontId="8" fillId="0" borderId="7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4" fontId="8" fillId="4" borderId="7" xfId="0" applyNumberFormat="1" applyFont="1" applyFill="1" applyBorder="1" applyAlignment="1">
      <alignment horizontal="center" vertical="center" wrapText="1"/>
    </xf>
    <xf numFmtId="164" fontId="8" fillId="4" borderId="7" xfId="0" applyNumberFormat="1" applyFont="1" applyFill="1" applyBorder="1" applyAlignment="1">
      <alignment horizontal="center" vertical="center"/>
    </xf>
    <xf numFmtId="1" fontId="8" fillId="4" borderId="7" xfId="6" applyNumberFormat="1" applyFont="1" applyFill="1" applyBorder="1" applyAlignment="1">
      <alignment horizontal="center" vertical="center"/>
    </xf>
    <xf numFmtId="1" fontId="8" fillId="4" borderId="3" xfId="6" applyNumberFormat="1" applyFont="1" applyFill="1" applyBorder="1" applyAlignment="1">
      <alignment horizontal="center" vertical="center"/>
    </xf>
    <xf numFmtId="0" fontId="10" fillId="9" borderId="9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center" wrapText="1"/>
    </xf>
    <xf numFmtId="9" fontId="8" fillId="4" borderId="7" xfId="3" applyFont="1" applyFill="1" applyBorder="1" applyAlignment="1">
      <alignment horizontal="center" vertical="center" wrapText="1"/>
    </xf>
    <xf numFmtId="9" fontId="8" fillId="4" borderId="7" xfId="3" applyFont="1" applyFill="1" applyBorder="1" applyAlignment="1">
      <alignment horizontal="center" vertical="center"/>
    </xf>
    <xf numFmtId="9" fontId="6" fillId="0" borderId="0" xfId="3" applyFont="1" applyAlignment="1">
      <alignment vertical="center"/>
    </xf>
    <xf numFmtId="0" fontId="10" fillId="4" borderId="3" xfId="0" applyFont="1" applyFill="1" applyBorder="1" applyAlignment="1">
      <alignment horizontal="center" vertical="center" wrapText="1"/>
    </xf>
    <xf numFmtId="0" fontId="10" fillId="4" borderId="10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2" borderId="3" xfId="4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</cellXfs>
  <cellStyles count="7">
    <cellStyle name="Comma 2" xfId="6" xr:uid="{EC30B3D8-163A-4682-B4A3-FD28D9498D91}"/>
    <cellStyle name="Currency 2" xfId="5" xr:uid="{D52CCE6C-F8DD-4030-9443-04C99C9A02A0}"/>
    <cellStyle name="Millares" xfId="1" builtinId="3"/>
    <cellStyle name="Moneda" xfId="2" builtinId="4"/>
    <cellStyle name="Normal" xfId="0" builtinId="0"/>
    <cellStyle name="Normal 3" xfId="4" xr:uid="{9191A932-79AB-42B7-8B66-2AFE89AA25DF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0</xdr:row>
      <xdr:rowOff>0</xdr:rowOff>
    </xdr:from>
    <xdr:to>
      <xdr:col>19</xdr:col>
      <xdr:colOff>144518</xdr:colOff>
      <xdr:row>3</xdr:row>
      <xdr:rowOff>168053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C01AC3C-5FDD-6DA9-458B-A91AAA7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30759" y="0"/>
          <a:ext cx="4578569" cy="8446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551583</xdr:colOff>
      <xdr:row>22</xdr:row>
      <xdr:rowOff>183571</xdr:rowOff>
    </xdr:from>
    <xdr:ext cx="5226303" cy="3214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AAB4B433-9150-DD2A-D7D2-8102F5AEDDC4}"/>
                </a:ext>
              </a:extLst>
            </xdr:cNvPr>
            <xdr:cNvSpPr txBox="1"/>
          </xdr:nvSpPr>
          <xdr:spPr>
            <a:xfrm>
              <a:off x="11124333" y="4902776"/>
              <a:ext cx="5226303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𝑆𝑃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𝑔𝑟𝑎𝑑𝑜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𝑠𝑒𝑣𝑒𝑟𝑖𝑑𝑎𝑑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  100%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𝑠𝑖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𝐷𝐷𝐴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≥180, 55%+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𝐷𝐷𝐴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∗45%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180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𝑆𝑖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𝐷𝐷𝐴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&lt;180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AAB4B433-9150-DD2A-D7D2-8102F5AEDDC4}"/>
                </a:ext>
              </a:extLst>
            </xdr:cNvPr>
            <xdr:cNvSpPr txBox="1"/>
          </xdr:nvSpPr>
          <xdr:spPr>
            <a:xfrm>
              <a:off x="11124333" y="4902776"/>
              <a:ext cx="5226303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𝑆𝑃 (𝑔𝑟𝑎𝑑𝑜 𝑑𝑒 𝑠𝑒𝑣𝑒𝑟𝑖𝑑𝑎𝑑)=  100% 𝑠𝑖 𝐷𝐷𝐴≥180, 55%+  (𝐷𝐷𝐴∗45%)/180  𝑆𝑖 𝐷𝐷𝐴&lt;180</a:t>
              </a:r>
              <a:endParaRPr lang="es-MX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8DC59-D8D2-4CB3-BD23-0D665C277DE3}">
  <sheetPr codeName="Sheet8"/>
  <dimension ref="A1:F17"/>
  <sheetViews>
    <sheetView showGridLines="0" zoomScale="130" zoomScaleNormal="130" workbookViewId="0">
      <selection activeCell="F11" sqref="F11"/>
    </sheetView>
  </sheetViews>
  <sheetFormatPr baseColWidth="10" defaultColWidth="8.85546875" defaultRowHeight="15"/>
  <cols>
    <col min="2" max="6" width="20.85546875" customWidth="1"/>
  </cols>
  <sheetData>
    <row r="1" spans="1:6" ht="26.25">
      <c r="A1" s="35" t="s">
        <v>68</v>
      </c>
    </row>
    <row r="3" spans="1:6" ht="56.45" customHeight="1">
      <c r="A3" s="45" t="s">
        <v>20</v>
      </c>
      <c r="B3" s="45" t="s">
        <v>14</v>
      </c>
      <c r="C3" s="46" t="s">
        <v>15</v>
      </c>
      <c r="D3" s="46" t="s">
        <v>16</v>
      </c>
      <c r="E3" s="46" t="s">
        <v>17</v>
      </c>
      <c r="F3" s="46" t="s">
        <v>18</v>
      </c>
    </row>
    <row r="4" spans="1:6">
      <c r="A4" s="5" t="s">
        <v>21</v>
      </c>
      <c r="B4" s="47">
        <v>0.73</v>
      </c>
      <c r="C4" s="48">
        <v>0.56999999999999995</v>
      </c>
      <c r="D4" s="42">
        <v>0</v>
      </c>
      <c r="E4" s="43">
        <v>0</v>
      </c>
      <c r="F4" s="43">
        <v>0</v>
      </c>
    </row>
    <row r="5" spans="1:6">
      <c r="A5" s="5" t="s">
        <v>22</v>
      </c>
      <c r="B5" s="47">
        <v>1</v>
      </c>
      <c r="C5" s="48">
        <v>1</v>
      </c>
      <c r="D5" s="42">
        <v>1</v>
      </c>
      <c r="E5" s="44">
        <v>0</v>
      </c>
      <c r="F5" s="44">
        <v>0</v>
      </c>
    </row>
    <row r="6" spans="1:6">
      <c r="A6" s="5" t="s">
        <v>23</v>
      </c>
      <c r="B6" s="47">
        <v>0.73</v>
      </c>
      <c r="C6" s="48">
        <v>0.56999999999999995</v>
      </c>
      <c r="D6" s="42">
        <v>0</v>
      </c>
      <c r="E6" s="44">
        <v>0</v>
      </c>
      <c r="F6" s="44">
        <v>0</v>
      </c>
    </row>
    <row r="7" spans="1:6">
      <c r="A7" s="5" t="s">
        <v>24</v>
      </c>
      <c r="B7" s="47">
        <v>0.31</v>
      </c>
      <c r="C7" s="48">
        <v>0.3</v>
      </c>
      <c r="D7" s="42">
        <v>0</v>
      </c>
      <c r="E7" s="44">
        <v>0</v>
      </c>
      <c r="F7" s="44">
        <v>0</v>
      </c>
    </row>
    <row r="8" spans="1:6">
      <c r="A8" s="5" t="s">
        <v>25</v>
      </c>
      <c r="B8" s="47">
        <v>1</v>
      </c>
      <c r="C8" s="48">
        <v>1</v>
      </c>
      <c r="D8" s="42">
        <v>1</v>
      </c>
      <c r="E8" s="44">
        <v>0</v>
      </c>
      <c r="F8" s="44">
        <v>0</v>
      </c>
    </row>
    <row r="9" spans="1:6">
      <c r="A9" s="5" t="s">
        <v>26</v>
      </c>
      <c r="B9" s="47">
        <v>0.96</v>
      </c>
      <c r="C9" s="48">
        <v>0.95</v>
      </c>
      <c r="D9" s="42">
        <v>1</v>
      </c>
      <c r="E9" s="44">
        <v>0</v>
      </c>
      <c r="F9" s="44">
        <v>0</v>
      </c>
    </row>
    <row r="10" spans="1:6">
      <c r="A10" s="5" t="s">
        <v>27</v>
      </c>
      <c r="B10" s="47">
        <v>0</v>
      </c>
      <c r="C10" s="48">
        <v>0</v>
      </c>
      <c r="D10" s="42">
        <v>1</v>
      </c>
      <c r="E10" s="44">
        <v>0</v>
      </c>
      <c r="F10" s="44">
        <v>0</v>
      </c>
    </row>
    <row r="11" spans="1:6">
      <c r="A11" s="5" t="s">
        <v>28</v>
      </c>
      <c r="B11" s="41" t="s">
        <v>13</v>
      </c>
      <c r="C11" s="42" t="s">
        <v>13</v>
      </c>
      <c r="D11" s="42" t="s">
        <v>13</v>
      </c>
      <c r="E11" s="44">
        <v>4</v>
      </c>
      <c r="F11" s="44">
        <v>85.333333330000002</v>
      </c>
    </row>
    <row r="12" spans="1:6">
      <c r="A12" s="5" t="s">
        <v>29</v>
      </c>
      <c r="B12" s="47">
        <v>0.87</v>
      </c>
      <c r="C12" s="42">
        <v>0.52</v>
      </c>
      <c r="D12" s="42">
        <v>0</v>
      </c>
      <c r="E12" s="44">
        <v>2</v>
      </c>
      <c r="F12" s="44">
        <v>45</v>
      </c>
    </row>
    <row r="13" spans="1:6">
      <c r="A13" s="5" t="s">
        <v>30</v>
      </c>
      <c r="B13" s="47">
        <v>0.7</v>
      </c>
      <c r="C13" s="42">
        <v>0.6</v>
      </c>
      <c r="D13" s="42">
        <v>1</v>
      </c>
      <c r="E13" s="44">
        <v>2</v>
      </c>
      <c r="F13" s="44">
        <v>60</v>
      </c>
    </row>
    <row r="14" spans="1:6">
      <c r="A14" s="5" t="s">
        <v>31</v>
      </c>
      <c r="B14" s="47">
        <v>0.89</v>
      </c>
      <c r="C14" s="42">
        <v>0.86</v>
      </c>
      <c r="D14" s="42" t="s">
        <v>13</v>
      </c>
      <c r="E14" s="44">
        <v>4</v>
      </c>
      <c r="F14" s="44">
        <v>30</v>
      </c>
    </row>
    <row r="15" spans="1:6">
      <c r="A15" s="5" t="s">
        <v>32</v>
      </c>
      <c r="B15" s="47">
        <v>0.66</v>
      </c>
      <c r="C15" s="42">
        <v>0.4</v>
      </c>
      <c r="D15" s="42">
        <v>0</v>
      </c>
      <c r="E15" s="44">
        <v>4</v>
      </c>
      <c r="F15" s="44">
        <v>30</v>
      </c>
    </row>
    <row r="16" spans="1:6">
      <c r="A16" s="5" t="s">
        <v>33</v>
      </c>
      <c r="B16" s="47">
        <v>0</v>
      </c>
      <c r="C16" s="42">
        <v>0</v>
      </c>
      <c r="D16" s="42">
        <v>0</v>
      </c>
      <c r="E16" s="44">
        <v>4</v>
      </c>
      <c r="F16" s="44">
        <v>30</v>
      </c>
    </row>
    <row r="17" spans="1:6">
      <c r="A17" s="5" t="s">
        <v>34</v>
      </c>
      <c r="B17" s="41" t="s">
        <v>13</v>
      </c>
      <c r="C17" s="42" t="s">
        <v>13</v>
      </c>
      <c r="D17" s="42">
        <v>0</v>
      </c>
      <c r="E17" s="44">
        <v>4</v>
      </c>
      <c r="F17" s="44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3F19-B3DA-4C63-80B7-6AE1A3B7714A}">
  <sheetPr codeName="Sheet2"/>
  <dimension ref="B1:DT22"/>
  <sheetViews>
    <sheetView showGridLines="0" showRowColHeaders="0" tabSelected="1" topLeftCell="F1" zoomScale="145" zoomScaleNormal="145" workbookViewId="0">
      <selection activeCell="I5" sqref="I5:J5"/>
    </sheetView>
  </sheetViews>
  <sheetFormatPr baseColWidth="10" defaultColWidth="8.85546875" defaultRowHeight="15"/>
  <cols>
    <col min="2" max="2" width="10.85546875" customWidth="1"/>
    <col min="3" max="3" width="10.7109375" customWidth="1"/>
    <col min="5" max="5" width="14.7109375" customWidth="1"/>
    <col min="6" max="6" width="13.28515625" customWidth="1"/>
    <col min="7" max="7" width="15.85546875" customWidth="1"/>
    <col min="8" max="8" width="13.28515625" customWidth="1"/>
    <col min="9" max="9" width="14.28515625" customWidth="1"/>
    <col min="10" max="16" width="13.28515625" customWidth="1"/>
  </cols>
  <sheetData>
    <row r="1" spans="2:124" ht="23.25">
      <c r="B1" s="55" t="s">
        <v>69</v>
      </c>
      <c r="C1" s="55"/>
      <c r="D1" s="55"/>
      <c r="E1" s="55"/>
      <c r="F1" s="55"/>
      <c r="G1" s="55"/>
      <c r="H1" s="55"/>
      <c r="I1" s="55"/>
      <c r="J1" s="55"/>
      <c r="K1" s="55"/>
      <c r="L1" s="55"/>
    </row>
    <row r="2" spans="2:124">
      <c r="J2" s="36"/>
    </row>
    <row r="5" spans="2:124" ht="69.599999999999994" customHeight="1" thickBot="1">
      <c r="E5" s="54" t="s">
        <v>79</v>
      </c>
      <c r="F5" s="50"/>
      <c r="G5" s="50" t="s">
        <v>80</v>
      </c>
      <c r="H5" s="50"/>
      <c r="I5" s="50" t="s">
        <v>16</v>
      </c>
      <c r="J5" s="50"/>
      <c r="K5" s="50" t="s">
        <v>17</v>
      </c>
      <c r="L5" s="50"/>
      <c r="M5" s="50" t="s">
        <v>18</v>
      </c>
      <c r="N5" s="50"/>
      <c r="O5" s="50" t="s">
        <v>19</v>
      </c>
      <c r="P5" s="51"/>
    </row>
    <row r="6" spans="2:124" s="1" customFormat="1" ht="13.15" customHeight="1">
      <c r="B6" s="59" t="s">
        <v>0</v>
      </c>
      <c r="C6" s="52" t="s">
        <v>1</v>
      </c>
      <c r="D6" s="58" t="s">
        <v>2</v>
      </c>
      <c r="E6" s="57" t="s">
        <v>3</v>
      </c>
      <c r="F6" s="56" t="s">
        <v>4</v>
      </c>
      <c r="G6" s="57" t="s">
        <v>3</v>
      </c>
      <c r="H6" s="56" t="s">
        <v>4</v>
      </c>
      <c r="I6" s="57" t="s">
        <v>3</v>
      </c>
      <c r="J6" s="56" t="s">
        <v>4</v>
      </c>
      <c r="K6" s="57" t="s">
        <v>3</v>
      </c>
      <c r="L6" s="56" t="s">
        <v>4</v>
      </c>
      <c r="M6" s="57" t="s">
        <v>3</v>
      </c>
      <c r="N6" s="56" t="s">
        <v>4</v>
      </c>
      <c r="O6" s="57" t="s">
        <v>5</v>
      </c>
      <c r="P6" s="56" t="s">
        <v>6</v>
      </c>
      <c r="Q6" s="52" t="s">
        <v>7</v>
      </c>
      <c r="DP6" s="2"/>
      <c r="DT6" s="3">
        <v>43</v>
      </c>
    </row>
    <row r="7" spans="2:124" s="1" customFormat="1" ht="13.15" customHeight="1">
      <c r="B7" s="60"/>
      <c r="C7" s="53"/>
      <c r="D7" s="56"/>
      <c r="E7" s="57"/>
      <c r="F7" s="56"/>
      <c r="G7" s="57"/>
      <c r="H7" s="56"/>
      <c r="I7" s="57"/>
      <c r="J7" s="56"/>
      <c r="K7" s="57"/>
      <c r="L7" s="56"/>
      <c r="M7" s="57"/>
      <c r="N7" s="56"/>
      <c r="O7" s="57"/>
      <c r="P7" s="56"/>
      <c r="Q7" s="53"/>
      <c r="DT7" s="3">
        <v>46</v>
      </c>
    </row>
    <row r="8" spans="2:124" s="1" customFormat="1" ht="13.15" customHeight="1">
      <c r="B8" s="61"/>
      <c r="C8" s="53"/>
      <c r="D8" s="56"/>
      <c r="E8" s="57"/>
      <c r="F8" s="56"/>
      <c r="G8" s="57"/>
      <c r="H8" s="56"/>
      <c r="I8" s="57"/>
      <c r="J8" s="56"/>
      <c r="K8" s="57"/>
      <c r="L8" s="56"/>
      <c r="M8" s="57"/>
      <c r="N8" s="56"/>
      <c r="O8" s="57"/>
      <c r="P8" s="56"/>
      <c r="Q8" s="53"/>
      <c r="DT8" s="3">
        <v>48</v>
      </c>
    </row>
    <row r="9" spans="2:124" s="1" customFormat="1" ht="12" customHeight="1">
      <c r="B9" s="4" t="s">
        <v>75</v>
      </c>
      <c r="C9" s="5" t="s">
        <v>21</v>
      </c>
      <c r="D9" s="6" t="s">
        <v>8</v>
      </c>
      <c r="E9" s="7">
        <f t="shared" ref="E9:E22" si="0">VLOOKUP($C9,matriz,2,0)</f>
        <v>0.73</v>
      </c>
      <c r="F9" s="6">
        <f t="shared" ref="F9:F22" si="1">IF(AND(D9="E",E9="Sin información"),140,
IF(AND(D9="E",E9&gt;=0,E9&lt;=0.67),73,
IF(AND(D9="E",E9&gt;0.67,E9&lt;=0.85),90,
IF(AND(D9="E",E9&gt;0.85,E9&lt;=0.92),106,
IF(AND(D9="E",E9&gt;0.92,E9&lt;=0.97),125,
IF(AND(D9="E",E9&gt;=0.98),162,
IF(AND(D9="A",E9="Sin información"),133,
IF(AND(D9="A",E9&gt;=0,E9&lt;=0.73),65,
IF(AND(D9="A",E9&gt;=0.74,E9&lt;=0.89),94,
IF(AND(D9="A",E9&gt;=0.9,E9&lt;=0.95),119,
IF(AND(D9="A",E9&gt;=0.96,E9&lt;=0.99),142,
IF(AND(D9="A",E9=1),168,
IF(AND(D9="C",E9="Sin información"),145,
IF(AND(D9="C",E9&gt;=0,E9&lt;=0.74),64,
IF(AND(D9="C",E9&gt;=0.75,E9&lt;=0.88),87,
IF(AND(D9="C",E9&gt;=0.89,E9&lt;=0.94),103,
IF(AND(D9="C",E9&gt;=0.95,E9&lt;=0.97),124,
IF(AND(D9="C",E9&gt;=0.98),160,
IF(AND(D9="S",E9="Sin información"),138,
IF(AND(D9="S",E9&gt;=0,E9&lt;=0.64),77,
IF(AND(D9="S",E9&gt;=0.65,E9&lt;=0.82),94,
IF(AND(D9="S",E9&gt;=0.83,E9&lt;=0.9),108,
IF(AND(D9="S",E9&gt;=0.91,E9&lt;=0.94),120,
IF(AND(D9="S",E9&gt;=0.95,E9&lt;=0.97),133,
IF(AND(D9="S",E9&gt;=0.98),157,
IF(AND(D9="M",E9="Sin información"),150,
IF(AND(D9="M",E9&gt;=0,E9&lt;=0.68),57,
IF(AND(D9="M",E9&gt;=0.69,E9&lt;=0.84),82,
IF(AND(D9="M",E9&gt;=0.85,E9&lt;=0.91),100,
IF(AND(D9="M",E9&gt;=0.92,E9&lt;=0.95),118,
IF(AND(D9="M",E9&gt;=0.96,E9&lt;=0.98),140,
IF(AND(D9="M",E9&gt;=0.99),170,
IF(E9="Sin información",140,
IF(AND(E9&gt;=0,E9&lt;=0.67),73,
IF(AND(E9&gt;0.67,E9&lt;=0.85),90,
IF(AND(E9&gt;0.85,E9&lt;=0.92),106,
IF(AND(E9&gt;0.92,E9&lt;=0.97),125,
IF(AND(E9&gt;=0.98),162
))))))))))))))))))))))))))))))))))))))</f>
        <v>65</v>
      </c>
      <c r="G9" s="7">
        <f t="shared" ref="G9:G22" si="2">VLOOKUP($C9,matriz,3,0)</f>
        <v>0.56999999999999995</v>
      </c>
      <c r="H9" s="6">
        <f t="shared" ref="H9:H22" si="3">IF(AND(D9="E",G9="Sin información"),127,
IF(AND(D9="E",G9&gt;=0,G9&lt;=0.5),99,
IF(AND(D9="E",G9&gt;=0.51,G9&lt;=0.86),106,
IF(AND(D9="E",G9&gt;=0.87,G9&lt;=0.99),126,
IF(AND(D9="E",G9=1),150,
IF(AND(D9="A",G9="Sin información"),133,
IF(AND(D9="A",G9&gt;=0,G9&lt;=0.57),100,
IF(AND(D9="A",G9&gt;=0.58,G9&lt;=0.91),108,
IF(AND(D9="A",G9&gt;=0.92),146,
IF(AND(D9="M",G9="Sin información"),129,
IF(AND(D9="M",G9&gt;=0,G9&lt;=0.75),102,
IF(AND(D9="M",G9&gt;=0.76,G9&lt;=0.98),126,
IF(AND(D9="M",G9&gt;=0.99),156,
IF(AND(D9="C",G9="Sin información"),129,
IF(AND(D9="C",G9&gt;=0,G9&lt;=0.39),100,
IF(AND(D9="C",G9&gt;=0.4,G9&lt;=0.86),106,
IF(AND(D9="C",G9&gt;=0.87,G9&lt;=0.99),132,
IF(AND(D9="C",G9=1),158,
IF(AND(D9="S",G9="Sin información"),128,
IF(AND(D9="S",G9&gt;=0,G9&lt;=0.4),106,
IF(AND(D9="S",G9&gt;=0.41,G9&lt;=0.83),112,
IF(AND(D9="S",G9&gt;=0.84,G9&lt;=0.96),132,
IF(AND(D9="S",G9&gt;=0.97),152)))))))))))))))))))))))</f>
        <v>100</v>
      </c>
      <c r="I9" s="7">
        <f t="shared" ref="I9:I22" si="4">VLOOKUP($C9,matriz,4,0)</f>
        <v>0</v>
      </c>
      <c r="J9" s="6">
        <f t="shared" ref="J9:J22" si="5">IF(AND(D9="E",I9="Sin información"),123,
IF(AND(D9="E",I9=0),127,
IF(AND(D9="E",I9=1),119,
IF(AND(D9="A",I9="Sin información"),120,
IF(AND(D9="A",I9=0),133,
IF(AND(D9="A",I9=1),113,
IF(AND(D9="M",I9="Sin información"),126,
IF(AND(D9="M",I9=0),131,
IF(AND(D9="M",I9=1),124,
IF(AND(D9="C",I9="Sin información"),127,
IF(AND(D9="C",I9=0),131,
IF(AND(D9="C",I9=1),123,
IF(AND(D9="S",I9="Sin información"),125,
IF(AND(D9="S",I9=0),130,
IF(AND(D9="S",I9=1),119)))))))))))))))</f>
        <v>133</v>
      </c>
      <c r="K9" s="39">
        <f t="shared" ref="K9:K22" si="6">VLOOKUP($C9,matriz,5,0)</f>
        <v>0</v>
      </c>
      <c r="L9" s="6">
        <f t="shared" ref="L9:L22" si="7">IF(AND(D9="E",K9="Sin información"),127,
IF(AND(D9="E",K9=0),157,
IF(AND(D9="E",K9=1),96,
IF(AND(D9="E",K9&gt;=2),64,
IF(AND(D9="A",K9="Sin información"),128,
IF(AND(D9="A",K9=0),153,
IF(AND(D9="A",K9=1),103,
IF(AND(D9="A",K9&gt;=2),66,
IF(AND(D9="M",K9="Sin información"),125,
IF(AND(D9="M",K9=0),154,
IF(AND(D9="M",K9=1),95,
IF(AND(D9="M",K9=2),77,
IF(AND(D9="M",K9&gt;=3),50,
IF(AND(D9="C",K9="Sin información"),119,
IF(AND(D9="C",K9=0),152,
IF(AND(D9="C",K9&gt;=1,K9&lt;=2),86,
IF(AND(D9="C",K9&gt;=3),49,
IF(AND(D9="S",K9="Sin información"),128,
IF(AND(D9="S",K9=0),159,
IF(AND(D9="S",K9=1),97,
IF(AND(D9="S",K9=2),69,
IF(AND(D9="S",K9&gt;=3),41))))))))))))))))))))))</f>
        <v>153</v>
      </c>
      <c r="M9" s="40">
        <f t="shared" ref="M9:M22" si="8">VLOOKUP($C9,matriz,6,0)</f>
        <v>0</v>
      </c>
      <c r="N9" s="6">
        <f t="shared" ref="N9:N22" si="9">IF(AND(D9="E",M9="Sin información"),121,
IF(AND(D9="E",M9=0),148,
IF(AND(D9="E",M9&gt;0,M9&lt;=7),93,
IF(AND(D9="E",M9&gt;7,M9&lt;=27),80,
IF(AND(D9="E",M9&gt;27,M9&lt;=38),73,
IF(AND(D9="E",M9&gt;38),41,
IF(AND(D9="A",M9="Sin información"),125,
IF(AND(D9="A",M9=0),145,
IF(AND(D9="A",M9&gt;0,M9&lt;=6),105,
IF(AND(D9="A",M9&gt;6,M9&lt;=30),82,
IF(AND(D9="A",M9&gt;30),56,
IF(AND(D9="M",M9="Sin información"),119,
IF(AND(D9="M",M9=0),149,
IF(AND(D9="M",M9&gt;0,M9&lt;=15),89,
IF(AND(D9="M",M9&gt;15,M9&lt;=30),75,
IF(AND(D9="M",M9&gt;30),43,
IF(AND(D9="C",M9="Sin información"),119,
IF(AND(D9="C",M9=0),148,
IF(AND(D9="C",M9&gt;0,M9&lt;=13),90,
IF(AND(D9="C",M9&gt;13,M9&lt;=30),70,
IF(AND(D9="C",M9&gt;30),32,
IF(AND(D9="S",M9="Sin información"),125,
IF(AND(D9="S",M9=0),148,
IF(AND(D9="S",M9&gt;0,M9&lt;=6),101,
IF(AND(D9="S",M9&gt;6,M9&lt;=24),90,
IF(AND(D9="S",M9&gt;24,M9&lt;=35),78,
IF(AND(D9="S",M9&gt;35),53)))))))))))))))))))))))))))</f>
        <v>145</v>
      </c>
      <c r="O9" s="8">
        <v>1</v>
      </c>
      <c r="P9" s="9">
        <f>SUM(F9,H9,J9,L9,N9)*O9</f>
        <v>596</v>
      </c>
      <c r="Q9" s="10">
        <f>1/(1+EXP(-(500-P9)*(LN(2)/40)))</f>
        <v>0.15928559409228407</v>
      </c>
      <c r="R9" s="49">
        <f>1/(1+EXP((-500+P9)*(LN(2)/40)))</f>
        <v>0.15928559409228407</v>
      </c>
      <c r="DS9" s="11">
        <v>71</v>
      </c>
    </row>
    <row r="10" spans="2:124" s="1" customFormat="1" ht="12" customHeight="1">
      <c r="B10" s="4" t="s">
        <v>75</v>
      </c>
      <c r="C10" s="5" t="s">
        <v>22</v>
      </c>
      <c r="D10" s="12" t="s">
        <v>9</v>
      </c>
      <c r="E10" s="7">
        <f t="shared" si="0"/>
        <v>1</v>
      </c>
      <c r="F10" s="6">
        <f t="shared" si="1"/>
        <v>162</v>
      </c>
      <c r="G10" s="7">
        <f t="shared" si="2"/>
        <v>1</v>
      </c>
      <c r="H10" s="12">
        <f t="shared" si="3"/>
        <v>150</v>
      </c>
      <c r="I10" s="7">
        <v>1</v>
      </c>
      <c r="J10" s="12">
        <f t="shared" si="5"/>
        <v>119</v>
      </c>
      <c r="K10" s="39">
        <f t="shared" si="6"/>
        <v>0</v>
      </c>
      <c r="L10" s="12">
        <f t="shared" si="7"/>
        <v>157</v>
      </c>
      <c r="M10" s="40">
        <f t="shared" si="8"/>
        <v>0</v>
      </c>
      <c r="N10" s="12">
        <f t="shared" si="9"/>
        <v>148</v>
      </c>
      <c r="O10" s="13">
        <v>1</v>
      </c>
      <c r="P10" s="9">
        <f t="shared" ref="P10:P22" si="10">SUM(F10,H10,J10,L10,N10)*O10</f>
        <v>736</v>
      </c>
      <c r="Q10" s="10">
        <f t="shared" ref="Q10:Q22" si="11">1/(1+EXP(-(500-P10)*(LN(2)/40)))</f>
        <v>1.6470635507626737E-2</v>
      </c>
      <c r="R10" s="49">
        <f t="shared" ref="R10:R22" si="12">1/(1+EXP((-500+P10)*(LN(2)/40)))</f>
        <v>1.6470635507626737E-2</v>
      </c>
      <c r="DS10" s="11">
        <v>81</v>
      </c>
    </row>
    <row r="11" spans="2:124" s="1" customFormat="1" ht="12" customHeight="1">
      <c r="B11" s="4" t="s">
        <v>75</v>
      </c>
      <c r="C11" s="5" t="s">
        <v>23</v>
      </c>
      <c r="D11" s="12" t="s">
        <v>10</v>
      </c>
      <c r="E11" s="7">
        <f t="shared" si="0"/>
        <v>0.73</v>
      </c>
      <c r="F11" s="6">
        <f t="shared" si="1"/>
        <v>82</v>
      </c>
      <c r="G11" s="7">
        <f t="shared" si="2"/>
        <v>0.56999999999999995</v>
      </c>
      <c r="H11" s="12">
        <f t="shared" si="3"/>
        <v>102</v>
      </c>
      <c r="I11" s="7">
        <f t="shared" si="4"/>
        <v>0</v>
      </c>
      <c r="J11" s="12">
        <f t="shared" si="5"/>
        <v>131</v>
      </c>
      <c r="K11" s="39">
        <f t="shared" si="6"/>
        <v>0</v>
      </c>
      <c r="L11" s="12">
        <f t="shared" si="7"/>
        <v>154</v>
      </c>
      <c r="M11" s="40">
        <f t="shared" si="8"/>
        <v>0</v>
      </c>
      <c r="N11" s="12">
        <f t="shared" si="9"/>
        <v>149</v>
      </c>
      <c r="O11" s="13">
        <v>1</v>
      </c>
      <c r="P11" s="9">
        <f t="shared" si="10"/>
        <v>618</v>
      </c>
      <c r="Q11" s="10">
        <f t="shared" si="11"/>
        <v>0.1145804724673453</v>
      </c>
      <c r="R11" s="49">
        <f t="shared" si="12"/>
        <v>0.1145804724673453</v>
      </c>
      <c r="DS11" s="14"/>
    </row>
    <row r="12" spans="2:124" s="1" customFormat="1" ht="12" customHeight="1">
      <c r="B12" s="4" t="s">
        <v>75</v>
      </c>
      <c r="C12" s="5" t="s">
        <v>24</v>
      </c>
      <c r="D12" s="12" t="s">
        <v>11</v>
      </c>
      <c r="E12" s="7">
        <f t="shared" si="0"/>
        <v>0.31</v>
      </c>
      <c r="F12" s="6">
        <f t="shared" si="1"/>
        <v>64</v>
      </c>
      <c r="G12" s="7">
        <f t="shared" si="2"/>
        <v>0.3</v>
      </c>
      <c r="H12" s="12">
        <f t="shared" si="3"/>
        <v>100</v>
      </c>
      <c r="I12" s="7">
        <f t="shared" si="4"/>
        <v>0</v>
      </c>
      <c r="J12" s="12">
        <f t="shared" si="5"/>
        <v>131</v>
      </c>
      <c r="K12" s="39">
        <f t="shared" si="6"/>
        <v>0</v>
      </c>
      <c r="L12" s="12">
        <f t="shared" si="7"/>
        <v>152</v>
      </c>
      <c r="M12" s="40">
        <f t="shared" si="8"/>
        <v>0</v>
      </c>
      <c r="N12" s="12">
        <f t="shared" si="9"/>
        <v>148</v>
      </c>
      <c r="O12" s="13">
        <v>1</v>
      </c>
      <c r="P12" s="9">
        <f t="shared" si="10"/>
        <v>595</v>
      </c>
      <c r="Q12" s="10">
        <f t="shared" si="11"/>
        <v>0.16161986500041614</v>
      </c>
      <c r="R12" s="49">
        <f t="shared" si="12"/>
        <v>0.16161986500041614</v>
      </c>
    </row>
    <row r="13" spans="2:124" s="1" customFormat="1" ht="12" customHeight="1">
      <c r="B13" s="4" t="s">
        <v>75</v>
      </c>
      <c r="C13" s="5" t="s">
        <v>25</v>
      </c>
      <c r="D13" s="12" t="s">
        <v>12</v>
      </c>
      <c r="E13" s="7">
        <f t="shared" si="0"/>
        <v>1</v>
      </c>
      <c r="F13" s="6">
        <f t="shared" si="1"/>
        <v>157</v>
      </c>
      <c r="G13" s="7">
        <f t="shared" si="2"/>
        <v>1</v>
      </c>
      <c r="H13" s="12">
        <f t="shared" si="3"/>
        <v>152</v>
      </c>
      <c r="I13" s="7">
        <f t="shared" si="4"/>
        <v>1</v>
      </c>
      <c r="J13" s="12">
        <f t="shared" si="5"/>
        <v>119</v>
      </c>
      <c r="K13" s="39">
        <f t="shared" si="6"/>
        <v>0</v>
      </c>
      <c r="L13" s="12">
        <f t="shared" si="7"/>
        <v>159</v>
      </c>
      <c r="M13" s="40">
        <f t="shared" si="8"/>
        <v>0</v>
      </c>
      <c r="N13" s="12">
        <f t="shared" si="9"/>
        <v>148</v>
      </c>
      <c r="O13" s="13">
        <v>1</v>
      </c>
      <c r="P13" s="9">
        <f t="shared" si="10"/>
        <v>735</v>
      </c>
      <c r="Q13" s="10">
        <f t="shared" si="11"/>
        <v>1.6753713723421979E-2</v>
      </c>
      <c r="R13" s="49">
        <f t="shared" si="12"/>
        <v>1.6753713723421979E-2</v>
      </c>
    </row>
    <row r="14" spans="2:124" s="1" customFormat="1" ht="12" customHeight="1">
      <c r="B14" s="4" t="s">
        <v>75</v>
      </c>
      <c r="C14" s="5" t="s">
        <v>26</v>
      </c>
      <c r="D14" s="12" t="s">
        <v>12</v>
      </c>
      <c r="E14" s="7">
        <f t="shared" si="0"/>
        <v>0.96</v>
      </c>
      <c r="F14" s="6">
        <f t="shared" si="1"/>
        <v>133</v>
      </c>
      <c r="G14" s="7">
        <f t="shared" si="2"/>
        <v>0.95</v>
      </c>
      <c r="H14" s="12">
        <f t="shared" si="3"/>
        <v>132</v>
      </c>
      <c r="I14" s="7">
        <f t="shared" si="4"/>
        <v>1</v>
      </c>
      <c r="J14" s="12">
        <f t="shared" si="5"/>
        <v>119</v>
      </c>
      <c r="K14" s="39">
        <f t="shared" si="6"/>
        <v>0</v>
      </c>
      <c r="L14" s="12">
        <f t="shared" si="7"/>
        <v>159</v>
      </c>
      <c r="M14" s="40">
        <f t="shared" si="8"/>
        <v>0</v>
      </c>
      <c r="N14" s="12">
        <f t="shared" si="9"/>
        <v>148</v>
      </c>
      <c r="O14" s="13">
        <v>1</v>
      </c>
      <c r="P14" s="9">
        <f t="shared" si="10"/>
        <v>691</v>
      </c>
      <c r="Q14" s="10">
        <f t="shared" si="11"/>
        <v>3.5237272685773896E-2</v>
      </c>
      <c r="R14" s="49">
        <f t="shared" si="12"/>
        <v>3.5237272685773896E-2</v>
      </c>
    </row>
    <row r="15" spans="2:124" s="1" customFormat="1" ht="12" customHeight="1">
      <c r="B15" s="4" t="s">
        <v>75</v>
      </c>
      <c r="C15" s="5" t="s">
        <v>27</v>
      </c>
      <c r="D15" s="12" t="s">
        <v>8</v>
      </c>
      <c r="E15" s="7">
        <f t="shared" si="0"/>
        <v>0</v>
      </c>
      <c r="F15" s="6">
        <f t="shared" si="1"/>
        <v>65</v>
      </c>
      <c r="G15" s="7">
        <f t="shared" si="2"/>
        <v>0</v>
      </c>
      <c r="H15" s="12">
        <f t="shared" si="3"/>
        <v>100</v>
      </c>
      <c r="I15" s="7">
        <f t="shared" si="4"/>
        <v>1</v>
      </c>
      <c r="J15" s="12">
        <f t="shared" si="5"/>
        <v>113</v>
      </c>
      <c r="K15" s="39">
        <f t="shared" si="6"/>
        <v>0</v>
      </c>
      <c r="L15" s="12">
        <f t="shared" si="7"/>
        <v>153</v>
      </c>
      <c r="M15" s="40">
        <f t="shared" si="8"/>
        <v>0</v>
      </c>
      <c r="N15" s="12">
        <f t="shared" si="9"/>
        <v>145</v>
      </c>
      <c r="O15" s="13">
        <v>1</v>
      </c>
      <c r="P15" s="9">
        <f t="shared" si="10"/>
        <v>576</v>
      </c>
      <c r="Q15" s="10">
        <f t="shared" si="11"/>
        <v>0.21132124107142605</v>
      </c>
      <c r="R15" s="49">
        <f t="shared" si="12"/>
        <v>0.21132124107142605</v>
      </c>
    </row>
    <row r="16" spans="2:124" s="1" customFormat="1" ht="12" customHeight="1">
      <c r="B16" s="4" t="s">
        <v>75</v>
      </c>
      <c r="C16" s="5" t="s">
        <v>28</v>
      </c>
      <c r="D16" s="12" t="s">
        <v>8</v>
      </c>
      <c r="E16" s="7" t="str">
        <f t="shared" si="0"/>
        <v>Sin información</v>
      </c>
      <c r="F16" s="6">
        <f t="shared" si="1"/>
        <v>133</v>
      </c>
      <c r="G16" s="7" t="str">
        <f t="shared" si="2"/>
        <v>Sin información</v>
      </c>
      <c r="H16" s="12">
        <f t="shared" si="3"/>
        <v>133</v>
      </c>
      <c r="I16" s="7" t="str">
        <f t="shared" si="4"/>
        <v>Sin información</v>
      </c>
      <c r="J16" s="12">
        <f t="shared" si="5"/>
        <v>120</v>
      </c>
      <c r="K16" s="39">
        <f t="shared" si="6"/>
        <v>4</v>
      </c>
      <c r="L16" s="12">
        <f t="shared" si="7"/>
        <v>66</v>
      </c>
      <c r="M16" s="40">
        <f t="shared" si="8"/>
        <v>85.333333330000002</v>
      </c>
      <c r="N16" s="12">
        <f t="shared" si="9"/>
        <v>56</v>
      </c>
      <c r="O16" s="13">
        <v>1</v>
      </c>
      <c r="P16" s="9">
        <f t="shared" si="10"/>
        <v>508</v>
      </c>
      <c r="Q16" s="10">
        <f t="shared" si="11"/>
        <v>0.46539803861923651</v>
      </c>
      <c r="R16" s="49">
        <f t="shared" si="12"/>
        <v>0.46539803861923651</v>
      </c>
    </row>
    <row r="17" spans="2:18" s="1" customFormat="1" ht="12" customHeight="1">
      <c r="B17" s="4" t="s">
        <v>75</v>
      </c>
      <c r="C17" s="5" t="s">
        <v>29</v>
      </c>
      <c r="D17" s="12" t="s">
        <v>9</v>
      </c>
      <c r="E17" s="7">
        <f t="shared" si="0"/>
        <v>0.87</v>
      </c>
      <c r="F17" s="6">
        <f t="shared" si="1"/>
        <v>106</v>
      </c>
      <c r="G17" s="7">
        <f t="shared" si="2"/>
        <v>0.52</v>
      </c>
      <c r="H17" s="12">
        <f t="shared" si="3"/>
        <v>106</v>
      </c>
      <c r="I17" s="7">
        <f t="shared" si="4"/>
        <v>0</v>
      </c>
      <c r="J17" s="12">
        <f t="shared" si="5"/>
        <v>127</v>
      </c>
      <c r="K17" s="39">
        <f t="shared" si="6"/>
        <v>2</v>
      </c>
      <c r="L17" s="12">
        <f t="shared" si="7"/>
        <v>64</v>
      </c>
      <c r="M17" s="40">
        <f t="shared" si="8"/>
        <v>45</v>
      </c>
      <c r="N17" s="12">
        <f t="shared" si="9"/>
        <v>41</v>
      </c>
      <c r="O17" s="13">
        <v>1</v>
      </c>
      <c r="P17" s="9">
        <f t="shared" si="10"/>
        <v>444</v>
      </c>
      <c r="Q17" s="10">
        <f t="shared" si="11"/>
        <v>0.72520042532400475</v>
      </c>
      <c r="R17" s="49">
        <f t="shared" si="12"/>
        <v>0.72520042532400475</v>
      </c>
    </row>
    <row r="18" spans="2:18" s="1" customFormat="1" ht="12" customHeight="1">
      <c r="B18" s="4" t="s">
        <v>75</v>
      </c>
      <c r="C18" s="5" t="s">
        <v>30</v>
      </c>
      <c r="D18" s="12" t="s">
        <v>10</v>
      </c>
      <c r="E18" s="7">
        <f t="shared" si="0"/>
        <v>0.7</v>
      </c>
      <c r="F18" s="6">
        <f t="shared" si="1"/>
        <v>82</v>
      </c>
      <c r="G18" s="7">
        <f t="shared" si="2"/>
        <v>0.6</v>
      </c>
      <c r="H18" s="12">
        <f t="shared" si="3"/>
        <v>102</v>
      </c>
      <c r="I18" s="7">
        <f t="shared" si="4"/>
        <v>1</v>
      </c>
      <c r="J18" s="12">
        <f t="shared" si="5"/>
        <v>124</v>
      </c>
      <c r="K18" s="39">
        <f t="shared" si="6"/>
        <v>2</v>
      </c>
      <c r="L18" s="12">
        <f t="shared" si="7"/>
        <v>77</v>
      </c>
      <c r="M18" s="40">
        <f t="shared" si="8"/>
        <v>60</v>
      </c>
      <c r="N18" s="12">
        <f t="shared" si="9"/>
        <v>43</v>
      </c>
      <c r="O18" s="13">
        <v>1</v>
      </c>
      <c r="P18" s="9">
        <f t="shared" si="10"/>
        <v>428</v>
      </c>
      <c r="Q18" s="10">
        <f t="shared" si="11"/>
        <v>0.77689538679573777</v>
      </c>
      <c r="R18" s="49">
        <f t="shared" si="12"/>
        <v>0.77689538679573777</v>
      </c>
    </row>
    <row r="19" spans="2:18" s="1" customFormat="1" ht="12" customHeight="1">
      <c r="B19" s="4" t="s">
        <v>75</v>
      </c>
      <c r="C19" s="5" t="s">
        <v>31</v>
      </c>
      <c r="D19" s="12" t="s">
        <v>11</v>
      </c>
      <c r="E19" s="7">
        <f t="shared" si="0"/>
        <v>0.89</v>
      </c>
      <c r="F19" s="6">
        <f t="shared" si="1"/>
        <v>103</v>
      </c>
      <c r="G19" s="7">
        <f t="shared" si="2"/>
        <v>0.86</v>
      </c>
      <c r="H19" s="12">
        <f t="shared" si="3"/>
        <v>106</v>
      </c>
      <c r="I19" s="7" t="str">
        <f t="shared" si="4"/>
        <v>Sin información</v>
      </c>
      <c r="J19" s="12">
        <f t="shared" si="5"/>
        <v>127</v>
      </c>
      <c r="K19" s="39">
        <f t="shared" si="6"/>
        <v>4</v>
      </c>
      <c r="L19" s="12">
        <f t="shared" si="7"/>
        <v>49</v>
      </c>
      <c r="M19" s="40">
        <f t="shared" si="8"/>
        <v>30</v>
      </c>
      <c r="N19" s="12">
        <f t="shared" si="9"/>
        <v>70</v>
      </c>
      <c r="O19" s="13">
        <v>1</v>
      </c>
      <c r="P19" s="9">
        <f t="shared" si="10"/>
        <v>455</v>
      </c>
      <c r="Q19" s="10">
        <f t="shared" si="11"/>
        <v>0.68563497697547426</v>
      </c>
      <c r="R19" s="49">
        <f t="shared" si="12"/>
        <v>0.68563497697547426</v>
      </c>
    </row>
    <row r="20" spans="2:18" s="1" customFormat="1" ht="12" customHeight="1">
      <c r="B20" s="4" t="s">
        <v>75</v>
      </c>
      <c r="C20" s="5" t="s">
        <v>32</v>
      </c>
      <c r="D20" s="12" t="s">
        <v>12</v>
      </c>
      <c r="E20" s="7">
        <f t="shared" si="0"/>
        <v>0.66</v>
      </c>
      <c r="F20" s="6">
        <f t="shared" si="1"/>
        <v>94</v>
      </c>
      <c r="G20" s="7">
        <f t="shared" si="2"/>
        <v>0.4</v>
      </c>
      <c r="H20" s="12">
        <f t="shared" si="3"/>
        <v>106</v>
      </c>
      <c r="I20" s="7">
        <f t="shared" si="4"/>
        <v>0</v>
      </c>
      <c r="J20" s="12">
        <f t="shared" si="5"/>
        <v>130</v>
      </c>
      <c r="K20" s="39">
        <f t="shared" si="6"/>
        <v>4</v>
      </c>
      <c r="L20" s="12">
        <f t="shared" si="7"/>
        <v>41</v>
      </c>
      <c r="M20" s="40">
        <f t="shared" si="8"/>
        <v>30</v>
      </c>
      <c r="N20" s="12">
        <f t="shared" si="9"/>
        <v>78</v>
      </c>
      <c r="O20" s="13">
        <v>1</v>
      </c>
      <c r="P20" s="9">
        <f t="shared" si="10"/>
        <v>449</v>
      </c>
      <c r="Q20" s="10">
        <f t="shared" si="11"/>
        <v>0.70760132847694357</v>
      </c>
      <c r="R20" s="49">
        <f t="shared" si="12"/>
        <v>0.70760132847694357</v>
      </c>
    </row>
    <row r="21" spans="2:18" s="1" customFormat="1" ht="12" customHeight="1">
      <c r="B21" s="4" t="s">
        <v>75</v>
      </c>
      <c r="C21" s="5" t="s">
        <v>33</v>
      </c>
      <c r="D21" s="12" t="s">
        <v>12</v>
      </c>
      <c r="E21" s="7">
        <f t="shared" si="0"/>
        <v>0</v>
      </c>
      <c r="F21" s="6">
        <f t="shared" si="1"/>
        <v>77</v>
      </c>
      <c r="G21" s="7">
        <f t="shared" si="2"/>
        <v>0</v>
      </c>
      <c r="H21" s="12">
        <f t="shared" si="3"/>
        <v>106</v>
      </c>
      <c r="I21" s="7">
        <f t="shared" si="4"/>
        <v>0</v>
      </c>
      <c r="J21" s="12">
        <f t="shared" si="5"/>
        <v>130</v>
      </c>
      <c r="K21" s="39">
        <f t="shared" si="6"/>
        <v>4</v>
      </c>
      <c r="L21" s="12">
        <f t="shared" si="7"/>
        <v>41</v>
      </c>
      <c r="M21" s="40">
        <f t="shared" si="8"/>
        <v>30</v>
      </c>
      <c r="N21" s="12">
        <f t="shared" si="9"/>
        <v>78</v>
      </c>
      <c r="O21" s="13">
        <v>1</v>
      </c>
      <c r="P21" s="9">
        <f t="shared" si="10"/>
        <v>432</v>
      </c>
      <c r="Q21" s="10">
        <f t="shared" si="11"/>
        <v>0.76465103693100045</v>
      </c>
      <c r="R21" s="49">
        <f t="shared" si="12"/>
        <v>0.76465103693100045</v>
      </c>
    </row>
    <row r="22" spans="2:18" s="1" customFormat="1" ht="12" customHeight="1">
      <c r="B22" s="4" t="s">
        <v>75</v>
      </c>
      <c r="C22" s="5" t="s">
        <v>34</v>
      </c>
      <c r="D22" s="12" t="s">
        <v>12</v>
      </c>
      <c r="E22" s="7" t="str">
        <f t="shared" si="0"/>
        <v>Sin información</v>
      </c>
      <c r="F22" s="6">
        <f t="shared" si="1"/>
        <v>138</v>
      </c>
      <c r="G22" s="7" t="str">
        <f t="shared" si="2"/>
        <v>Sin información</v>
      </c>
      <c r="H22" s="12">
        <f t="shared" si="3"/>
        <v>128</v>
      </c>
      <c r="I22" s="7">
        <f t="shared" si="4"/>
        <v>0</v>
      </c>
      <c r="J22" s="12">
        <f t="shared" si="5"/>
        <v>130</v>
      </c>
      <c r="K22" s="39">
        <f t="shared" si="6"/>
        <v>4</v>
      </c>
      <c r="L22" s="12">
        <f t="shared" si="7"/>
        <v>41</v>
      </c>
      <c r="M22" s="40">
        <f t="shared" si="8"/>
        <v>30</v>
      </c>
      <c r="N22" s="12">
        <f t="shared" si="9"/>
        <v>78</v>
      </c>
      <c r="O22" s="13">
        <v>1</v>
      </c>
      <c r="P22" s="9">
        <f t="shared" si="10"/>
        <v>515</v>
      </c>
      <c r="Q22" s="10">
        <f t="shared" si="11"/>
        <v>0.43538086845249563</v>
      </c>
      <c r="R22" s="49">
        <f t="shared" si="12"/>
        <v>0.43538086845249563</v>
      </c>
    </row>
  </sheetData>
  <mergeCells count="23">
    <mergeCell ref="B1:L1"/>
    <mergeCell ref="Q6:Q8"/>
    <mergeCell ref="F6:F8"/>
    <mergeCell ref="G6:G8"/>
    <mergeCell ref="H6:H8"/>
    <mergeCell ref="I6:I8"/>
    <mergeCell ref="J6:J8"/>
    <mergeCell ref="K6:K8"/>
    <mergeCell ref="L6:L8"/>
    <mergeCell ref="M6:M8"/>
    <mergeCell ref="N6:N8"/>
    <mergeCell ref="O6:O8"/>
    <mergeCell ref="P6:P8"/>
    <mergeCell ref="D6:D8"/>
    <mergeCell ref="E6:E8"/>
    <mergeCell ref="B6:B8"/>
    <mergeCell ref="M5:N5"/>
    <mergeCell ref="O5:P5"/>
    <mergeCell ref="C6:C8"/>
    <mergeCell ref="E5:F5"/>
    <mergeCell ref="G5:H5"/>
    <mergeCell ref="I5:J5"/>
    <mergeCell ref="K5:L5"/>
  </mergeCells>
  <phoneticPr fontId="11" type="noConversion"/>
  <dataValidations count="1">
    <dataValidation type="decimal" allowBlank="1" showInputMessage="1" showErrorMessage="1" error="Debe ser decimal_x000a_" sqref="Q9:Q22" xr:uid="{855CB061-EB1C-435E-8E87-0FCE60C05D20}">
      <formula1>0</formula1>
      <formula2>1000000000</formula2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A6A9B-841C-49B1-91B0-FF4D39821D8B}">
  <sheetPr codeName="Sheet3"/>
  <dimension ref="A2:B40"/>
  <sheetViews>
    <sheetView topLeftCell="A12" workbookViewId="0">
      <selection activeCell="B5" sqref="B5"/>
    </sheetView>
  </sheetViews>
  <sheetFormatPr baseColWidth="10" defaultColWidth="8.85546875" defaultRowHeight="15"/>
  <cols>
    <col min="1" max="1" width="9.42578125" bestFit="1" customWidth="1"/>
  </cols>
  <sheetData>
    <row r="2" spans="1:2" ht="45">
      <c r="A2" s="20" t="s">
        <v>59</v>
      </c>
      <c r="B2" s="17" t="s">
        <v>35</v>
      </c>
    </row>
    <row r="3" spans="1:2">
      <c r="A3" s="15">
        <v>0</v>
      </c>
      <c r="B3" s="15">
        <v>0.45</v>
      </c>
    </row>
    <row r="4" spans="1:2">
      <c r="A4" s="15">
        <f>+A3+1</f>
        <v>1</v>
      </c>
      <c r="B4" s="15">
        <v>0.45</v>
      </c>
    </row>
    <row r="5" spans="1:2">
      <c r="A5" s="15">
        <f t="shared" ref="A5:A40" si="0">+A4+1</f>
        <v>2</v>
      </c>
      <c r="B5" s="15">
        <v>0.45</v>
      </c>
    </row>
    <row r="6" spans="1:2">
      <c r="A6" s="15">
        <f t="shared" si="0"/>
        <v>3</v>
      </c>
      <c r="B6" s="15">
        <v>0.45</v>
      </c>
    </row>
    <row r="7" spans="1:2">
      <c r="A7" s="15">
        <f t="shared" si="0"/>
        <v>4</v>
      </c>
      <c r="B7" s="15">
        <v>0.55000000000000004</v>
      </c>
    </row>
    <row r="8" spans="1:2">
      <c r="A8" s="15">
        <f t="shared" si="0"/>
        <v>5</v>
      </c>
      <c r="B8" s="15">
        <v>0.55000000000000004</v>
      </c>
    </row>
    <row r="9" spans="1:2">
      <c r="A9" s="15">
        <f t="shared" si="0"/>
        <v>6</v>
      </c>
      <c r="B9" s="15">
        <v>0.55000000000000004</v>
      </c>
    </row>
    <row r="10" spans="1:2">
      <c r="A10" s="15">
        <f t="shared" si="0"/>
        <v>7</v>
      </c>
      <c r="B10" s="15">
        <v>0.62</v>
      </c>
    </row>
    <row r="11" spans="1:2">
      <c r="A11" s="15">
        <f t="shared" si="0"/>
        <v>8</v>
      </c>
      <c r="B11" s="15">
        <v>0.62</v>
      </c>
    </row>
    <row r="12" spans="1:2">
      <c r="A12" s="15">
        <f t="shared" si="0"/>
        <v>9</v>
      </c>
      <c r="B12" s="15">
        <v>0.62</v>
      </c>
    </row>
    <row r="13" spans="1:2">
      <c r="A13" s="15">
        <f t="shared" si="0"/>
        <v>10</v>
      </c>
      <c r="B13" s="15">
        <v>0.66</v>
      </c>
    </row>
    <row r="14" spans="1:2">
      <c r="A14" s="15">
        <f t="shared" si="0"/>
        <v>11</v>
      </c>
      <c r="B14" s="15">
        <v>0.66</v>
      </c>
    </row>
    <row r="15" spans="1:2">
      <c r="A15" s="15">
        <f t="shared" si="0"/>
        <v>12</v>
      </c>
      <c r="B15" s="15">
        <v>0.66</v>
      </c>
    </row>
    <row r="16" spans="1:2">
      <c r="A16" s="15">
        <f t="shared" si="0"/>
        <v>13</v>
      </c>
      <c r="B16" s="15">
        <v>0.72</v>
      </c>
    </row>
    <row r="17" spans="1:2">
      <c r="A17" s="15">
        <f t="shared" si="0"/>
        <v>14</v>
      </c>
      <c r="B17" s="15">
        <v>0.72</v>
      </c>
    </row>
    <row r="18" spans="1:2">
      <c r="A18" s="15">
        <f t="shared" si="0"/>
        <v>15</v>
      </c>
      <c r="B18" s="15">
        <v>0.72</v>
      </c>
    </row>
    <row r="19" spans="1:2">
      <c r="A19" s="15">
        <f t="shared" si="0"/>
        <v>16</v>
      </c>
      <c r="B19" s="15">
        <v>0.75</v>
      </c>
    </row>
    <row r="20" spans="1:2">
      <c r="A20" s="15">
        <f t="shared" si="0"/>
        <v>17</v>
      </c>
      <c r="B20" s="15">
        <v>0.75</v>
      </c>
    </row>
    <row r="21" spans="1:2">
      <c r="A21" s="15">
        <f t="shared" si="0"/>
        <v>18</v>
      </c>
      <c r="B21" s="15">
        <v>0.75</v>
      </c>
    </row>
    <row r="22" spans="1:2">
      <c r="A22" s="15">
        <f t="shared" si="0"/>
        <v>19</v>
      </c>
      <c r="B22" s="15">
        <v>0.78</v>
      </c>
    </row>
    <row r="23" spans="1:2">
      <c r="A23" s="15">
        <f t="shared" si="0"/>
        <v>20</v>
      </c>
      <c r="B23" s="15">
        <v>0.78</v>
      </c>
    </row>
    <row r="24" spans="1:2">
      <c r="A24" s="15">
        <f t="shared" si="0"/>
        <v>21</v>
      </c>
      <c r="B24" s="15">
        <v>0.78</v>
      </c>
    </row>
    <row r="25" spans="1:2">
      <c r="A25" s="15">
        <f t="shared" si="0"/>
        <v>22</v>
      </c>
      <c r="B25" s="15">
        <v>0.81</v>
      </c>
    </row>
    <row r="26" spans="1:2">
      <c r="A26" s="15">
        <f t="shared" si="0"/>
        <v>23</v>
      </c>
      <c r="B26" s="15">
        <v>0.81</v>
      </c>
    </row>
    <row r="27" spans="1:2">
      <c r="A27" s="15">
        <f t="shared" si="0"/>
        <v>24</v>
      </c>
      <c r="B27" s="15">
        <v>0.81</v>
      </c>
    </row>
    <row r="28" spans="1:2">
      <c r="A28" s="15">
        <f t="shared" si="0"/>
        <v>25</v>
      </c>
      <c r="B28" s="15">
        <v>0.88</v>
      </c>
    </row>
    <row r="29" spans="1:2">
      <c r="A29" s="15">
        <f t="shared" si="0"/>
        <v>26</v>
      </c>
      <c r="B29" s="15">
        <v>0.88</v>
      </c>
    </row>
    <row r="30" spans="1:2">
      <c r="A30" s="15">
        <f t="shared" si="0"/>
        <v>27</v>
      </c>
      <c r="B30" s="15">
        <v>0.88</v>
      </c>
    </row>
    <row r="31" spans="1:2">
      <c r="A31" s="15">
        <f t="shared" si="0"/>
        <v>28</v>
      </c>
      <c r="B31" s="15">
        <v>0.91</v>
      </c>
    </row>
    <row r="32" spans="1:2">
      <c r="A32" s="15">
        <f t="shared" si="0"/>
        <v>29</v>
      </c>
      <c r="B32" s="15">
        <v>0.91</v>
      </c>
    </row>
    <row r="33" spans="1:2">
      <c r="A33" s="15">
        <f t="shared" si="0"/>
        <v>30</v>
      </c>
      <c r="B33" s="15">
        <v>0.91</v>
      </c>
    </row>
    <row r="34" spans="1:2">
      <c r="A34" s="15">
        <f t="shared" si="0"/>
        <v>31</v>
      </c>
      <c r="B34" s="15">
        <v>0.94</v>
      </c>
    </row>
    <row r="35" spans="1:2">
      <c r="A35" s="15">
        <f t="shared" si="0"/>
        <v>32</v>
      </c>
      <c r="B35" s="15">
        <v>0.94</v>
      </c>
    </row>
    <row r="36" spans="1:2">
      <c r="A36" s="15">
        <f t="shared" si="0"/>
        <v>33</v>
      </c>
      <c r="B36" s="15">
        <v>0.94</v>
      </c>
    </row>
    <row r="37" spans="1:2">
      <c r="A37" s="15">
        <f t="shared" si="0"/>
        <v>34</v>
      </c>
      <c r="B37" s="15">
        <v>0.96</v>
      </c>
    </row>
    <row r="38" spans="1:2">
      <c r="A38" s="15">
        <f>+A37+1</f>
        <v>35</v>
      </c>
      <c r="B38" s="15">
        <v>0.96</v>
      </c>
    </row>
    <row r="39" spans="1:2">
      <c r="A39" s="15">
        <f t="shared" si="0"/>
        <v>36</v>
      </c>
      <c r="B39" s="15">
        <v>0.96</v>
      </c>
    </row>
    <row r="40" spans="1:2">
      <c r="A40" s="15">
        <f t="shared" si="0"/>
        <v>37</v>
      </c>
      <c r="B40" s="16">
        <v>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D77D-1F71-4299-8F1C-B88177462BF4}">
  <sheetPr codeName="Sheet7"/>
  <dimension ref="B1:T24"/>
  <sheetViews>
    <sheetView zoomScale="110" zoomScaleNormal="110" workbookViewId="0">
      <selection activeCell="B29" sqref="B29"/>
    </sheetView>
  </sheetViews>
  <sheetFormatPr baseColWidth="10" defaultColWidth="8.85546875" defaultRowHeight="15"/>
  <cols>
    <col min="2" max="2" width="15.28515625" customWidth="1"/>
    <col min="3" max="3" width="16.42578125" customWidth="1"/>
    <col min="4" max="4" width="12.7109375" bestFit="1" customWidth="1"/>
    <col min="5" max="5" width="12.7109375" customWidth="1"/>
    <col min="9" max="9" width="10.5703125" customWidth="1"/>
    <col min="10" max="10" width="13.7109375" customWidth="1"/>
    <col min="11" max="11" width="14.140625" bestFit="1" customWidth="1"/>
    <col min="12" max="12" width="13.85546875" customWidth="1"/>
    <col min="13" max="13" width="13.5703125" customWidth="1"/>
    <col min="14" max="14" width="14.140625" bestFit="1" customWidth="1"/>
    <col min="15" max="15" width="13.5703125" customWidth="1"/>
    <col min="16" max="17" width="11.7109375" customWidth="1"/>
    <col min="18" max="18" width="12.7109375" bestFit="1" customWidth="1"/>
    <col min="19" max="19" width="15.140625" customWidth="1"/>
  </cols>
  <sheetData>
    <row r="1" spans="2:20" ht="26.25">
      <c r="B1" s="35" t="s">
        <v>70</v>
      </c>
    </row>
    <row r="2" spans="2:20">
      <c r="D2" t="s">
        <v>76</v>
      </c>
    </row>
    <row r="3" spans="2:20">
      <c r="D3" t="s">
        <v>77</v>
      </c>
      <c r="S3" t="s">
        <v>78</v>
      </c>
    </row>
    <row r="4" spans="2:20" ht="45">
      <c r="B4" s="18" t="s">
        <v>53</v>
      </c>
      <c r="C4" s="18" t="s">
        <v>54</v>
      </c>
      <c r="D4" s="19" t="s">
        <v>55</v>
      </c>
      <c r="E4" s="19" t="s">
        <v>64</v>
      </c>
      <c r="F4" s="19" t="s">
        <v>56</v>
      </c>
      <c r="G4" s="19" t="s">
        <v>60</v>
      </c>
      <c r="H4" s="19" t="s">
        <v>57</v>
      </c>
      <c r="I4" s="19" t="s">
        <v>71</v>
      </c>
      <c r="J4" s="19" t="s">
        <v>72</v>
      </c>
      <c r="K4" s="19" t="s">
        <v>58</v>
      </c>
      <c r="L4" s="19" t="s">
        <v>66</v>
      </c>
      <c r="M4" s="19" t="s">
        <v>61</v>
      </c>
      <c r="N4" s="19" t="s">
        <v>65</v>
      </c>
      <c r="O4" s="19" t="s">
        <v>67</v>
      </c>
      <c r="P4" s="19" t="s">
        <v>63</v>
      </c>
      <c r="Q4" s="19" t="s">
        <v>35</v>
      </c>
      <c r="R4" s="19" t="s">
        <v>62</v>
      </c>
      <c r="S4" s="19" t="s">
        <v>73</v>
      </c>
      <c r="T4" s="19" t="s">
        <v>74</v>
      </c>
    </row>
    <row r="5" spans="2:20">
      <c r="B5" s="22" t="s">
        <v>21</v>
      </c>
      <c r="C5" s="22" t="s">
        <v>36</v>
      </c>
      <c r="D5" s="24">
        <v>0</v>
      </c>
      <c r="E5" s="24">
        <f>+D5/30.4</f>
        <v>0</v>
      </c>
      <c r="F5" s="34">
        <f>+IF(D5&lt;=30, 1,IF(AND(D5&gt;30,D5&lt;90),2,3))</f>
        <v>1</v>
      </c>
      <c r="G5" s="25">
        <v>0.13</v>
      </c>
      <c r="H5" s="25">
        <v>0.14990000000000001</v>
      </c>
      <c r="I5" s="26">
        <v>60</v>
      </c>
      <c r="J5" s="26">
        <v>46</v>
      </c>
      <c r="K5" s="23">
        <v>1000000</v>
      </c>
      <c r="L5" s="27">
        <v>0</v>
      </c>
      <c r="M5" s="30">
        <f>-PMT(G5/12,I5,K5,0,0)</f>
        <v>22753.073044224024</v>
      </c>
      <c r="N5" s="31" cm="1">
        <f t="array" ref="N5">Saldo_Insoluto(G5,I5,J5,K5,M5)</f>
        <v>820848.05917432078</v>
      </c>
      <c r="O5" s="31">
        <f t="shared" ref="O5:O21" si="0">L5*M5</f>
        <v>0</v>
      </c>
      <c r="P5" s="32">
        <f>VLOOKUP(B5,PI!$C$9:$Q$22,15,0)</f>
        <v>0.15928559409228407</v>
      </c>
      <c r="Q5" s="32">
        <f t="shared" ref="Q5:Q21" si="1">IF(D5&gt;180,1,0.55+D5*0.45/180)</f>
        <v>0.55000000000000004</v>
      </c>
      <c r="R5" s="33" cm="1">
        <f t="array" ref="R5">Reservas(G5,H5,J5,N5,M5,F5,P5,Q5)</f>
        <v>295320.56736456678</v>
      </c>
      <c r="S5" s="38">
        <f>R5+O5</f>
        <v>295320.56736456678</v>
      </c>
      <c r="T5" s="37">
        <f>S5/N5</f>
        <v>0.35977494746302435</v>
      </c>
    </row>
    <row r="6" spans="2:20">
      <c r="B6" s="22" t="s">
        <v>22</v>
      </c>
      <c r="C6" s="22" t="s">
        <v>37</v>
      </c>
      <c r="D6" s="28">
        <v>0</v>
      </c>
      <c r="E6" s="24">
        <f t="shared" ref="E6:E21" si="2">+D6/30.4</f>
        <v>0</v>
      </c>
      <c r="F6" s="34">
        <f t="shared" ref="F6:F21" si="3">+IF(D6&lt;=30, 1,IF(AND(D6&gt;30,D6&lt;90),2,3))</f>
        <v>1</v>
      </c>
      <c r="G6" s="25">
        <v>0.09</v>
      </c>
      <c r="H6" s="25">
        <v>0.10054</v>
      </c>
      <c r="I6" s="26">
        <v>72</v>
      </c>
      <c r="J6" s="26">
        <v>66</v>
      </c>
      <c r="K6" s="23">
        <v>1300000</v>
      </c>
      <c r="L6" s="27">
        <v>0</v>
      </c>
      <c r="M6" s="30">
        <f t="shared" ref="M6:M21" si="4">-PMT(G6/12,I6,K6,0,0)</f>
        <v>23433.198318753384</v>
      </c>
      <c r="N6" s="31" cm="1">
        <f t="array" ref="N6">Saldo_Insoluto(G6,I6,J6,K6,M6)</f>
        <v>1216345.9699440815</v>
      </c>
      <c r="O6" s="31">
        <f t="shared" si="0"/>
        <v>0</v>
      </c>
      <c r="P6" s="32">
        <f>VLOOKUP(B6,PI!$C$9:$Q$22,15,0)</f>
        <v>1.6470635507626737E-2</v>
      </c>
      <c r="Q6" s="32">
        <f t="shared" si="1"/>
        <v>0.55000000000000004</v>
      </c>
      <c r="R6" s="33" cm="1">
        <f t="array" ref="R6">Reservas(G6,H6,J6,N6,M6,F6,P6,Q6)</f>
        <v>105767.24327612421</v>
      </c>
      <c r="S6" s="38">
        <f t="shared" ref="S6:S21" si="5">R6+O6</f>
        <v>105767.24327612421</v>
      </c>
      <c r="T6" s="37">
        <f t="shared" ref="T6:T21" si="6">S6/N6</f>
        <v>8.695490089960721E-2</v>
      </c>
    </row>
    <row r="7" spans="2:20">
      <c r="B7" s="22" t="s">
        <v>23</v>
      </c>
      <c r="C7" s="22" t="s">
        <v>38</v>
      </c>
      <c r="D7" s="28">
        <v>0</v>
      </c>
      <c r="E7" s="24">
        <f t="shared" si="2"/>
        <v>0</v>
      </c>
      <c r="F7" s="34">
        <f t="shared" si="3"/>
        <v>1</v>
      </c>
      <c r="G7" s="25">
        <v>0.11</v>
      </c>
      <c r="H7" s="25">
        <v>0.1255</v>
      </c>
      <c r="I7" s="26">
        <v>48</v>
      </c>
      <c r="J7" s="26">
        <v>34</v>
      </c>
      <c r="K7" s="23">
        <v>1500000</v>
      </c>
      <c r="L7" s="27">
        <v>0</v>
      </c>
      <c r="M7" s="30">
        <f t="shared" si="4"/>
        <v>38768.283917179222</v>
      </c>
      <c r="N7" s="31" cm="1">
        <f t="array" ref="N7">Saldo_Insoluto(G7,I7,J7,K7,M7)</f>
        <v>1128089.7466239673</v>
      </c>
      <c r="O7" s="31">
        <f t="shared" si="0"/>
        <v>0</v>
      </c>
      <c r="P7" s="32">
        <f>VLOOKUP(B7,PI!$C$9:$Q$22,15,0)</f>
        <v>0.1145804724673453</v>
      </c>
      <c r="Q7" s="32">
        <f t="shared" si="1"/>
        <v>0.55000000000000004</v>
      </c>
      <c r="R7" s="33" cm="1">
        <f t="array" ref="R7">Reservas(G7,H7,J7,N7,M7,F7,P7,Q7)</f>
        <v>358967.34638555837</v>
      </c>
      <c r="S7" s="38">
        <f t="shared" si="5"/>
        <v>358967.34638555837</v>
      </c>
      <c r="T7" s="37">
        <f t="shared" si="6"/>
        <v>0.31820814563720612</v>
      </c>
    </row>
    <row r="8" spans="2:20">
      <c r="B8" s="22" t="s">
        <v>24</v>
      </c>
      <c r="C8" s="22" t="s">
        <v>39</v>
      </c>
      <c r="D8" s="28">
        <v>0</v>
      </c>
      <c r="E8" s="24">
        <f t="shared" si="2"/>
        <v>0</v>
      </c>
      <c r="F8" s="34">
        <f t="shared" si="3"/>
        <v>1</v>
      </c>
      <c r="G8" s="25">
        <v>7.0000000000000007E-2</v>
      </c>
      <c r="H8" s="25">
        <v>7.6499999999999999E-2</v>
      </c>
      <c r="I8" s="26">
        <v>72</v>
      </c>
      <c r="J8" s="26">
        <v>64</v>
      </c>
      <c r="K8" s="23">
        <v>1100000</v>
      </c>
      <c r="L8" s="27">
        <v>0</v>
      </c>
      <c r="M8" s="30">
        <f t="shared" si="4"/>
        <v>18753.907119166579</v>
      </c>
      <c r="N8" s="31" cm="1">
        <f t="array" ref="N8">Saldo_Insoluto(G8,I8,J8,K8,M8)</f>
        <v>999263.31240791013</v>
      </c>
      <c r="O8" s="31">
        <f t="shared" si="0"/>
        <v>0</v>
      </c>
      <c r="P8" s="32">
        <f>VLOOKUP(B8,PI!$C$9:$Q$22,15,0)</f>
        <v>0.16161986500041614</v>
      </c>
      <c r="Q8" s="32">
        <f t="shared" si="1"/>
        <v>0.55000000000000004</v>
      </c>
      <c r="R8" s="33" cm="1">
        <f t="array" ref="R8">Reservas(G8,H8,J8,N8,M8,F8,P8,Q8)</f>
        <v>375753.97707398672</v>
      </c>
      <c r="S8" s="38">
        <f t="shared" si="5"/>
        <v>375753.97707398672</v>
      </c>
      <c r="T8" s="37">
        <f t="shared" si="6"/>
        <v>0.37603099444183324</v>
      </c>
    </row>
    <row r="9" spans="2:20">
      <c r="B9" s="22" t="s">
        <v>25</v>
      </c>
      <c r="C9" s="22" t="s">
        <v>40</v>
      </c>
      <c r="D9" s="28">
        <v>0</v>
      </c>
      <c r="E9" s="24">
        <f t="shared" si="2"/>
        <v>0</v>
      </c>
      <c r="F9" s="34">
        <f t="shared" si="3"/>
        <v>1</v>
      </c>
      <c r="G9" s="25">
        <v>0.11</v>
      </c>
      <c r="H9" s="25">
        <v>0.13760999999999998</v>
      </c>
      <c r="I9" s="26">
        <v>72</v>
      </c>
      <c r="J9" s="26">
        <v>65</v>
      </c>
      <c r="K9" s="23">
        <v>900000</v>
      </c>
      <c r="L9" s="27">
        <v>0</v>
      </c>
      <c r="M9" s="30">
        <f t="shared" si="4"/>
        <v>17130.671100635223</v>
      </c>
      <c r="N9" s="31" cm="1">
        <f t="array" ref="N9">Saldo_Insoluto(G9,I9,J9,K9,M9)</f>
        <v>836099.41457219759</v>
      </c>
      <c r="O9" s="31">
        <f t="shared" si="0"/>
        <v>0</v>
      </c>
      <c r="P9" s="32">
        <f>VLOOKUP(B9,PI!$C$9:$Q$22,15,0)</f>
        <v>1.6753713723421979E-2</v>
      </c>
      <c r="Q9" s="32">
        <f t="shared" si="1"/>
        <v>0.55000000000000004</v>
      </c>
      <c r="R9" s="33" cm="1">
        <f t="array" ref="R9">Reservas(G9,H9,J9,N9,M9,F9,P9,Q9)</f>
        <v>72631.250410532157</v>
      </c>
      <c r="S9" s="38">
        <f t="shared" si="5"/>
        <v>72631.250410532157</v>
      </c>
      <c r="T9" s="37">
        <f t="shared" si="6"/>
        <v>8.6869155921721328E-2</v>
      </c>
    </row>
    <row r="10" spans="2:20">
      <c r="B10" s="22" t="s">
        <v>26</v>
      </c>
      <c r="C10" s="22" t="s">
        <v>41</v>
      </c>
      <c r="D10" s="28">
        <v>0</v>
      </c>
      <c r="E10" s="24">
        <f t="shared" si="2"/>
        <v>0</v>
      </c>
      <c r="F10" s="34">
        <f t="shared" si="3"/>
        <v>1</v>
      </c>
      <c r="G10" s="25">
        <v>0.11</v>
      </c>
      <c r="H10" s="25">
        <v>0.129</v>
      </c>
      <c r="I10" s="26">
        <v>48</v>
      </c>
      <c r="J10" s="26">
        <v>42</v>
      </c>
      <c r="K10" s="23">
        <v>500000</v>
      </c>
      <c r="L10" s="27">
        <v>0</v>
      </c>
      <c r="M10" s="30">
        <f t="shared" si="4"/>
        <v>12922.761305726408</v>
      </c>
      <c r="N10" s="31" cm="1">
        <f t="array" ref="N10">Saldo_Insoluto(G10,I10,J10,K10,M10)</f>
        <v>448802.64927650755</v>
      </c>
      <c r="O10" s="31">
        <f t="shared" si="0"/>
        <v>0</v>
      </c>
      <c r="P10" s="32">
        <f>VLOOKUP(B10,PI!$C$9:$Q$22,15,0)</f>
        <v>3.5237272685773896E-2</v>
      </c>
      <c r="Q10" s="32">
        <f t="shared" si="1"/>
        <v>0.55000000000000004</v>
      </c>
      <c r="R10" s="33" cm="1">
        <f t="array" ref="R10">Reservas(G10,H10,J10,N10,M10,F10,P10,Q10)</f>
        <v>70306.740368463565</v>
      </c>
      <c r="S10" s="38">
        <f t="shared" si="5"/>
        <v>70306.740368463565</v>
      </c>
      <c r="T10" s="37">
        <f t="shared" si="6"/>
        <v>0.1566540226128379</v>
      </c>
    </row>
    <row r="11" spans="2:20">
      <c r="B11" s="22" t="s">
        <v>27</v>
      </c>
      <c r="C11" s="22" t="s">
        <v>42</v>
      </c>
      <c r="D11" s="28">
        <v>0</v>
      </c>
      <c r="E11" s="24">
        <f t="shared" si="2"/>
        <v>0</v>
      </c>
      <c r="F11" s="34">
        <f t="shared" si="3"/>
        <v>1</v>
      </c>
      <c r="G11" s="25">
        <v>7.0000000000000007E-2</v>
      </c>
      <c r="H11" s="25">
        <v>7.6589999999999991E-2</v>
      </c>
      <c r="I11" s="26">
        <v>60</v>
      </c>
      <c r="J11" s="26">
        <v>50</v>
      </c>
      <c r="K11" s="23">
        <v>350000</v>
      </c>
      <c r="L11" s="27">
        <v>0</v>
      </c>
      <c r="M11" s="30">
        <f t="shared" si="4"/>
        <v>6930.4194891223369</v>
      </c>
      <c r="N11" s="31" cm="1">
        <f t="array" ref="N11">Saldo_Insoluto(G11,I11,J11,K11,M11)</f>
        <v>299809.00642416725</v>
      </c>
      <c r="O11" s="31">
        <f t="shared" si="0"/>
        <v>0</v>
      </c>
      <c r="P11" s="32">
        <f>VLOOKUP(B11,PI!$C$9:$Q$22,15,0)</f>
        <v>0.21132124107142605</v>
      </c>
      <c r="Q11" s="32">
        <f t="shared" si="1"/>
        <v>0.55000000000000004</v>
      </c>
      <c r="R11" s="33" cm="1">
        <f t="array" ref="R11">Reservas(G11,H11,J11,N11,M11,F11,P11,Q11)</f>
        <v>113303.69798123508</v>
      </c>
      <c r="S11" s="38">
        <f t="shared" si="5"/>
        <v>113303.69798123508</v>
      </c>
      <c r="T11" s="37">
        <f t="shared" si="6"/>
        <v>0.37791959398622588</v>
      </c>
    </row>
    <row r="12" spans="2:20">
      <c r="B12" s="22" t="s">
        <v>28</v>
      </c>
      <c r="C12" s="22" t="s">
        <v>43</v>
      </c>
      <c r="D12" s="28">
        <v>75</v>
      </c>
      <c r="E12" s="29">
        <f>+D12/30.4</f>
        <v>2.4671052631578947</v>
      </c>
      <c r="F12" s="34">
        <f t="shared" si="3"/>
        <v>2</v>
      </c>
      <c r="G12" s="25">
        <v>0.13</v>
      </c>
      <c r="H12" s="25">
        <v>0.16377</v>
      </c>
      <c r="I12" s="26">
        <v>48</v>
      </c>
      <c r="J12" s="26">
        <v>35</v>
      </c>
      <c r="K12" s="23">
        <v>1000000</v>
      </c>
      <c r="L12" s="27">
        <v>2</v>
      </c>
      <c r="M12" s="30">
        <f t="shared" si="4"/>
        <v>26827.495893764895</v>
      </c>
      <c r="N12" s="31" cm="1">
        <f t="array" ref="N12">Saldo_Insoluto(G12,I12,J12,K12,M12)</f>
        <v>778009.14344481612</v>
      </c>
      <c r="O12" s="31">
        <f t="shared" si="0"/>
        <v>53654.991787529791</v>
      </c>
      <c r="P12" s="32">
        <f>VLOOKUP(B12,PI!$C$9:$Q$22,15,0)</f>
        <v>0.46539803861923651</v>
      </c>
      <c r="Q12" s="32">
        <f t="shared" si="1"/>
        <v>0.73750000000000004</v>
      </c>
      <c r="R12" s="33" cm="1">
        <f t="array" ref="R12">Reservas(G12,H12,J12,N12,M12,F12,P12,Q12)</f>
        <v>290044.92428734485</v>
      </c>
      <c r="S12" s="38">
        <f>R12+O12</f>
        <v>343699.91607487464</v>
      </c>
      <c r="T12" s="37">
        <f t="shared" si="6"/>
        <v>0.44176847916344975</v>
      </c>
    </row>
    <row r="13" spans="2:20">
      <c r="B13" s="22" t="s">
        <v>28</v>
      </c>
      <c r="C13" s="22" t="s">
        <v>44</v>
      </c>
      <c r="D13" s="28">
        <v>75</v>
      </c>
      <c r="E13" s="29">
        <f t="shared" si="2"/>
        <v>2.4671052631578947</v>
      </c>
      <c r="F13" s="34">
        <f t="shared" si="3"/>
        <v>2</v>
      </c>
      <c r="G13" s="25">
        <v>0.12</v>
      </c>
      <c r="H13" s="25">
        <v>0.14150000000000001</v>
      </c>
      <c r="I13" s="26">
        <v>36</v>
      </c>
      <c r="J13" s="26">
        <v>26</v>
      </c>
      <c r="K13" s="23">
        <v>1800000</v>
      </c>
      <c r="L13" s="27">
        <v>2</v>
      </c>
      <c r="M13" s="30">
        <f t="shared" si="4"/>
        <v>59785.757663132143</v>
      </c>
      <c r="N13" s="31" cm="1">
        <f t="array" ref="N13">Saldo_Insoluto(G13,I13,J13,K13,M13)</f>
        <v>1362828.5217508399</v>
      </c>
      <c r="O13" s="31">
        <f t="shared" si="0"/>
        <v>119571.51532626429</v>
      </c>
      <c r="P13" s="32">
        <f>VLOOKUP(B13,PI!$C$9:$Q$22,15,0)</f>
        <v>0.46539803861923651</v>
      </c>
      <c r="Q13" s="32">
        <f t="shared" si="1"/>
        <v>0.73750000000000004</v>
      </c>
      <c r="R13" s="33" cm="1">
        <f t="array" ref="R13">Reservas(G13,H13,J13,N13,M13,F13,P13,Q13)</f>
        <v>503933.95508200221</v>
      </c>
      <c r="S13" s="38">
        <f t="shared" si="5"/>
        <v>623505.47040826653</v>
      </c>
      <c r="T13" s="37">
        <f t="shared" si="6"/>
        <v>0.45750838088363649</v>
      </c>
    </row>
    <row r="14" spans="2:20">
      <c r="B14" s="22" t="s">
        <v>28</v>
      </c>
      <c r="C14" s="22" t="s">
        <v>45</v>
      </c>
      <c r="D14" s="28">
        <v>106</v>
      </c>
      <c r="E14" s="29">
        <f t="shared" si="2"/>
        <v>3.486842105263158</v>
      </c>
      <c r="F14" s="34">
        <f t="shared" si="3"/>
        <v>3</v>
      </c>
      <c r="G14" s="25">
        <v>0.12</v>
      </c>
      <c r="H14" s="25">
        <v>0.14150000000000001</v>
      </c>
      <c r="I14" s="26">
        <v>72</v>
      </c>
      <c r="J14" s="26">
        <v>62</v>
      </c>
      <c r="K14" s="23">
        <v>1300000</v>
      </c>
      <c r="L14" s="27">
        <v>3</v>
      </c>
      <c r="M14" s="30">
        <f t="shared" si="4"/>
        <v>25415.250253508759</v>
      </c>
      <c r="N14" s="31" cm="1">
        <f t="array" ref="N14">Saldo_Insoluto(G14,I14,J14,K14,M14)</f>
        <v>1170109.0126101908</v>
      </c>
      <c r="O14" s="31">
        <f t="shared" si="0"/>
        <v>76245.75076052628</v>
      </c>
      <c r="P14" s="32">
        <f>VLOOKUP(B14,PI!$C$9:$Q$22,15,0)</f>
        <v>0.46539803861923651</v>
      </c>
      <c r="Q14" s="32">
        <f t="shared" si="1"/>
        <v>0.81500000000000006</v>
      </c>
      <c r="R14" s="33" cm="1">
        <f t="array" ref="R14">Reservas(G14,H14,J14,N14,M14,F14,P14,Q14)</f>
        <v>490616.55828537839</v>
      </c>
      <c r="S14" s="38">
        <f t="shared" si="5"/>
        <v>566862.30904590467</v>
      </c>
      <c r="T14" s="37">
        <f t="shared" si="6"/>
        <v>0.48445256205777876</v>
      </c>
    </row>
    <row r="15" spans="2:20">
      <c r="B15" s="22" t="s">
        <v>29</v>
      </c>
      <c r="C15" s="22" t="s">
        <v>46</v>
      </c>
      <c r="D15" s="28">
        <v>45</v>
      </c>
      <c r="E15" s="29">
        <f t="shared" si="2"/>
        <v>1.4802631578947369</v>
      </c>
      <c r="F15" s="34">
        <f t="shared" si="3"/>
        <v>2</v>
      </c>
      <c r="G15" s="25">
        <v>0.11</v>
      </c>
      <c r="H15" s="25">
        <v>0.13760999999999998</v>
      </c>
      <c r="I15" s="26">
        <v>48</v>
      </c>
      <c r="J15" s="26">
        <v>35</v>
      </c>
      <c r="K15" s="23">
        <v>500000</v>
      </c>
      <c r="L15" s="27">
        <v>1</v>
      </c>
      <c r="M15" s="30">
        <f t="shared" si="4"/>
        <v>12922.761305726408</v>
      </c>
      <c r="N15" s="31" cm="1">
        <f t="array" ref="N15">Saldo_Insoluto(G15,I15,J15,K15,M15)</f>
        <v>385419.66326142615</v>
      </c>
      <c r="O15" s="31">
        <f t="shared" si="0"/>
        <v>12922.761305726408</v>
      </c>
      <c r="P15" s="32">
        <f>VLOOKUP(B15,PI!$C$9:$Q$22,15,0)</f>
        <v>0.72520042532400475</v>
      </c>
      <c r="Q15" s="32">
        <f t="shared" si="1"/>
        <v>0.66250000000000009</v>
      </c>
      <c r="R15" s="33" cm="1">
        <f t="array" ref="R15">Reservas(G15,H15,J15,N15,M15,F15,P15,Q15)</f>
        <v>68445.287661321418</v>
      </c>
      <c r="S15" s="38">
        <f t="shared" si="5"/>
        <v>81368.048967047827</v>
      </c>
      <c r="T15" s="37">
        <f t="shared" si="6"/>
        <v>0.21111545861077857</v>
      </c>
    </row>
    <row r="16" spans="2:20">
      <c r="B16" s="22" t="s">
        <v>30</v>
      </c>
      <c r="C16" s="22" t="s">
        <v>47</v>
      </c>
      <c r="D16" s="28">
        <v>60</v>
      </c>
      <c r="E16" s="29">
        <f t="shared" si="2"/>
        <v>1.9736842105263159</v>
      </c>
      <c r="F16" s="34">
        <f t="shared" si="3"/>
        <v>2</v>
      </c>
      <c r="G16" s="25">
        <v>0.105</v>
      </c>
      <c r="H16" s="25">
        <v>0.12781000000000001</v>
      </c>
      <c r="I16" s="26">
        <v>42</v>
      </c>
      <c r="J16" s="26">
        <v>35</v>
      </c>
      <c r="K16" s="23">
        <v>1200000</v>
      </c>
      <c r="L16" s="27">
        <v>2</v>
      </c>
      <c r="M16" s="30">
        <f t="shared" si="4"/>
        <v>34265.698746696682</v>
      </c>
      <c r="N16" s="31" cm="1">
        <f t="array" ref="N16">Saldo_Insoluto(G16,I16,J16,K16,M16)</f>
        <v>1029208.9171434327</v>
      </c>
      <c r="O16" s="31">
        <f t="shared" si="0"/>
        <v>68531.397493393364</v>
      </c>
      <c r="P16" s="32">
        <f>VLOOKUP(B16,PI!$C$9:$Q$22,15,0)</f>
        <v>0.77689538679573777</v>
      </c>
      <c r="Q16" s="32">
        <f t="shared" si="1"/>
        <v>0.70000000000000007</v>
      </c>
      <c r="R16" s="33" cm="1">
        <f t="array" ref="R16">Reservas(G16,H16,J16,N16,M16,F16,P16,Q16)</f>
        <v>157455.89485948079</v>
      </c>
      <c r="S16" s="38">
        <f t="shared" si="5"/>
        <v>225987.29235287415</v>
      </c>
      <c r="T16" s="37">
        <f t="shared" si="6"/>
        <v>0.21957378000581401</v>
      </c>
    </row>
    <row r="17" spans="2:20">
      <c r="B17" s="22" t="s">
        <v>31</v>
      </c>
      <c r="C17" s="22" t="s">
        <v>48</v>
      </c>
      <c r="D17" s="28">
        <v>30</v>
      </c>
      <c r="E17" s="29">
        <f t="shared" si="2"/>
        <v>0.98684210526315796</v>
      </c>
      <c r="F17" s="34">
        <f t="shared" si="3"/>
        <v>1</v>
      </c>
      <c r="G17" s="25">
        <v>0.09</v>
      </c>
      <c r="H17" s="25">
        <v>0.1055</v>
      </c>
      <c r="I17" s="26">
        <v>60</v>
      </c>
      <c r="J17" s="26">
        <v>46</v>
      </c>
      <c r="K17" s="23">
        <v>800000</v>
      </c>
      <c r="L17" s="27">
        <v>1</v>
      </c>
      <c r="M17" s="30">
        <f t="shared" si="4"/>
        <v>16606.684181083208</v>
      </c>
      <c r="N17" s="31" cm="1">
        <f t="array" ref="N17">Saldo_Insoluto(G17,I17,J17,K17,M17)</f>
        <v>644045.64025498799</v>
      </c>
      <c r="O17" s="31">
        <f t="shared" si="0"/>
        <v>16606.684181083208</v>
      </c>
      <c r="P17" s="32">
        <f>VLOOKUP(B17,PI!$C$9:$Q$22,15,0)</f>
        <v>0.68563497697547426</v>
      </c>
      <c r="Q17" s="32">
        <f t="shared" si="1"/>
        <v>0.625</v>
      </c>
      <c r="R17" s="33" cm="1">
        <f t="array" ref="R17">Reservas(G17,H17,J17,N17,M17,F17,P17,Q17)</f>
        <v>123901.05023212169</v>
      </c>
      <c r="S17" s="38">
        <f t="shared" si="5"/>
        <v>140507.73441320489</v>
      </c>
      <c r="T17" s="37">
        <f t="shared" si="6"/>
        <v>0.21816425052978486</v>
      </c>
    </row>
    <row r="18" spans="2:20">
      <c r="B18" s="22" t="s">
        <v>32</v>
      </c>
      <c r="C18" s="22" t="s">
        <v>49</v>
      </c>
      <c r="D18" s="28">
        <v>30</v>
      </c>
      <c r="E18" s="29">
        <f t="shared" si="2"/>
        <v>0.98684210526315796</v>
      </c>
      <c r="F18" s="34">
        <f t="shared" si="3"/>
        <v>1</v>
      </c>
      <c r="G18" s="25">
        <v>0.1</v>
      </c>
      <c r="H18" s="25">
        <v>0.11592000000000001</v>
      </c>
      <c r="I18" s="26">
        <v>48</v>
      </c>
      <c r="J18" s="26">
        <v>43</v>
      </c>
      <c r="K18" s="23">
        <v>750000</v>
      </c>
      <c r="L18" s="27">
        <v>1</v>
      </c>
      <c r="M18" s="30">
        <f t="shared" si="4"/>
        <v>19021.937576060394</v>
      </c>
      <c r="N18" s="31" cm="1">
        <f t="array" ref="N18">Saldo_Insoluto(G18,I18,J18,K18,M18)</f>
        <v>685067.07744812453</v>
      </c>
      <c r="O18" s="31">
        <f t="shared" si="0"/>
        <v>19021.937576060394</v>
      </c>
      <c r="P18" s="32">
        <f>VLOOKUP(B18,PI!$C$9:$Q$22,15,0)</f>
        <v>0.70760132847694357</v>
      </c>
      <c r="Q18" s="32">
        <f t="shared" si="1"/>
        <v>0.625</v>
      </c>
      <c r="R18" s="33" cm="1">
        <f t="array" ref="R18">Reservas(G18,H18,J18,N18,M18,F18,P18,Q18)</f>
        <v>122527.49554240171</v>
      </c>
      <c r="S18" s="38">
        <f t="shared" si="5"/>
        <v>141549.4331184621</v>
      </c>
      <c r="T18" s="37">
        <f t="shared" si="6"/>
        <v>0.20662127516875262</v>
      </c>
    </row>
    <row r="19" spans="2:20">
      <c r="B19" s="22" t="s">
        <v>33</v>
      </c>
      <c r="C19" s="22" t="s">
        <v>50</v>
      </c>
      <c r="D19" s="28">
        <v>30</v>
      </c>
      <c r="E19" s="29">
        <f t="shared" si="2"/>
        <v>0.98684210526315796</v>
      </c>
      <c r="F19" s="34">
        <f t="shared" si="3"/>
        <v>1</v>
      </c>
      <c r="G19" s="25">
        <v>0.08</v>
      </c>
      <c r="H19" s="25">
        <v>0.09</v>
      </c>
      <c r="I19" s="26">
        <v>72</v>
      </c>
      <c r="J19" s="26">
        <v>59</v>
      </c>
      <c r="K19" s="23">
        <v>350000</v>
      </c>
      <c r="L19" s="27">
        <v>1</v>
      </c>
      <c r="M19" s="30">
        <f t="shared" si="4"/>
        <v>6136.6342141834766</v>
      </c>
      <c r="N19" s="31" cm="1">
        <f t="array" ref="N19">Saldo_Insoluto(G19,I19,J19,K19,M19)</f>
        <v>298530.2126110727</v>
      </c>
      <c r="O19" s="31">
        <f t="shared" si="0"/>
        <v>6136.6342141834766</v>
      </c>
      <c r="P19" s="32">
        <f>VLOOKUP(B19,PI!$C$9:$Q$22,15,0)</f>
        <v>0.76465103693100045</v>
      </c>
      <c r="Q19" s="32">
        <f t="shared" si="1"/>
        <v>0.625</v>
      </c>
      <c r="R19" s="33" cm="1">
        <f t="array" ref="R19">Reservas(G19,H19,J19,N19,M19,F19,P19,Q19)</f>
        <v>43300.745708752111</v>
      </c>
      <c r="S19" s="38">
        <f t="shared" si="5"/>
        <v>49437.379922935586</v>
      </c>
      <c r="T19" s="37">
        <f t="shared" si="6"/>
        <v>0.16560260179542685</v>
      </c>
    </row>
    <row r="20" spans="2:20">
      <c r="B20" s="22" t="s">
        <v>34</v>
      </c>
      <c r="C20" s="22" t="s">
        <v>51</v>
      </c>
      <c r="D20" s="28">
        <v>0</v>
      </c>
      <c r="E20" s="29">
        <f t="shared" si="2"/>
        <v>0</v>
      </c>
      <c r="F20" s="34">
        <f t="shared" si="3"/>
        <v>1</v>
      </c>
      <c r="G20" s="25">
        <v>0.12</v>
      </c>
      <c r="H20" s="25">
        <v>0.14400000000000002</v>
      </c>
      <c r="I20" s="26">
        <v>36</v>
      </c>
      <c r="J20" s="26">
        <v>28</v>
      </c>
      <c r="K20" s="23">
        <v>400000</v>
      </c>
      <c r="L20" s="27">
        <v>0</v>
      </c>
      <c r="M20" s="30">
        <f t="shared" si="4"/>
        <v>13285.723925140477</v>
      </c>
      <c r="N20" s="31" cm="1">
        <f t="array" ref="N20">Saldo_Insoluto(G20,I20,J20,K20,M20)</f>
        <v>323061.55082740722</v>
      </c>
      <c r="O20" s="31">
        <f t="shared" si="0"/>
        <v>0</v>
      </c>
      <c r="P20" s="32">
        <f>VLOOKUP(B20,PI!$C$9:$Q$22,15,0)</f>
        <v>0.43538086845249563</v>
      </c>
      <c r="Q20" s="32">
        <f t="shared" si="1"/>
        <v>0.55000000000000004</v>
      </c>
      <c r="R20" s="33" cm="1">
        <f t="array" ref="R20">Reservas(G20,H20,J20,N20,M20,F20,P20,Q20)</f>
        <v>93698.859618610732</v>
      </c>
      <c r="S20" s="38">
        <f t="shared" si="5"/>
        <v>93698.859618610732</v>
      </c>
      <c r="T20" s="37">
        <f t="shared" si="6"/>
        <v>0.29003407981740459</v>
      </c>
    </row>
    <row r="21" spans="2:20">
      <c r="B21" s="22" t="s">
        <v>34</v>
      </c>
      <c r="C21" s="22" t="s">
        <v>52</v>
      </c>
      <c r="D21" s="28">
        <v>60</v>
      </c>
      <c r="E21" s="29">
        <f t="shared" si="2"/>
        <v>1.9736842105263159</v>
      </c>
      <c r="F21" s="34">
        <f t="shared" si="3"/>
        <v>2</v>
      </c>
      <c r="G21" s="25">
        <v>0.13</v>
      </c>
      <c r="H21" s="25">
        <v>0.16300000000000001</v>
      </c>
      <c r="I21" s="26">
        <v>48</v>
      </c>
      <c r="J21" s="26">
        <v>37</v>
      </c>
      <c r="K21" s="23">
        <v>600000</v>
      </c>
      <c r="L21" s="27">
        <v>2</v>
      </c>
      <c r="M21" s="30">
        <f t="shared" si="4"/>
        <v>16096.497536258938</v>
      </c>
      <c r="N21" s="31" cm="1">
        <f t="array" ref="N21">Saldo_Insoluto(G21,I21,J21,K21,M21)</f>
        <v>488530.69413368084</v>
      </c>
      <c r="O21" s="31">
        <f t="shared" si="0"/>
        <v>32192.995072517875</v>
      </c>
      <c r="P21" s="32">
        <f>VLOOKUP(B21,PI!$C$9:$Q$22,15,0)</f>
        <v>0.43538086845249563</v>
      </c>
      <c r="Q21" s="32">
        <f t="shared" si="1"/>
        <v>0.70000000000000007</v>
      </c>
      <c r="R21" s="33" cm="1">
        <f t="array" ref="R21">Reservas(G21,H21,J21,N21,M21,F21,P21,Q21)</f>
        <v>181962.33771121153</v>
      </c>
      <c r="S21" s="38">
        <f t="shared" si="5"/>
        <v>214155.33278372939</v>
      </c>
      <c r="T21" s="37">
        <f t="shared" si="6"/>
        <v>0.43836617710069253</v>
      </c>
    </row>
    <row r="22" spans="2:20">
      <c r="L22" s="21"/>
    </row>
    <row r="24" spans="2:20">
      <c r="I24" s="15"/>
      <c r="J24" s="15"/>
    </row>
  </sheetData>
  <phoneticPr fontId="11" type="noConversion"/>
  <conditionalFormatting sqref="F5:F2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Información PI</vt:lpstr>
      <vt:lpstr>PI</vt:lpstr>
      <vt:lpstr>SP</vt:lpstr>
      <vt:lpstr>Reservas</vt:lpstr>
      <vt:lpstr>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</dc:creator>
  <cp:lastModifiedBy>Luis Noe Torres Ferrer</cp:lastModifiedBy>
  <dcterms:created xsi:type="dcterms:W3CDTF">2022-05-19T05:00:35Z</dcterms:created>
  <dcterms:modified xsi:type="dcterms:W3CDTF">2025-05-26T03:41:02Z</dcterms:modified>
</cp:coreProperties>
</file>