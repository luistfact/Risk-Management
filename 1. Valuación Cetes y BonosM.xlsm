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Administracion De Riesgos\"/>
    </mc:Choice>
  </mc:AlternateContent>
  <xr:revisionPtr revIDLastSave="0" documentId="13_ncr:1_{60031FF4-711D-4074-A7F1-87D91BDDF2F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urva" sheetId="6" r:id="rId1"/>
    <sheet name="Cete" sheetId="2" r:id="rId2"/>
    <sheet name="BonoM" sheetId="3" r:id="rId3"/>
  </sheets>
  <functionGroups builtInGroupCount="19"/>
  <definedNames>
    <definedName name="CURVA">Curva!$B$4:$E$25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1" i="3" l="1"/>
  <c r="N21" i="3"/>
  <c r="B13" i="3"/>
  <c r="B8" i="3"/>
  <c r="B9" i="3" s="1"/>
  <c r="B10" i="3" s="1"/>
  <c r="M4" i="3"/>
  <c r="R4" i="3"/>
  <c r="B7" i="2"/>
  <c r="B8" i="2" a="1"/>
  <c r="B11" i="3" a="1"/>
  <c r="B11" i="3" l="1"/>
  <c r="B8" i="2"/>
  <c r="F4" i="2"/>
  <c r="I3" i="2" s="1"/>
  <c r="F5" i="3"/>
  <c r="L5" i="3" s="1"/>
  <c r="E4" i="6"/>
  <c r="H3" i="3"/>
  <c r="B12" i="2" a="1"/>
  <c r="B21" i="3" a="1"/>
  <c r="B12" i="2" l="1"/>
  <c r="B10" i="2"/>
  <c r="B21" i="3"/>
  <c r="B14" i="3"/>
  <c r="B17" i="3" s="1"/>
  <c r="P4" i="2"/>
  <c r="E25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12" i="6"/>
  <c r="B18" i="3" l="1"/>
  <c r="G4" i="3"/>
  <c r="A5" i="6"/>
  <c r="A6" i="6"/>
  <c r="A7" i="6"/>
  <c r="A8" i="6"/>
  <c r="A9" i="6"/>
  <c r="A10" i="6"/>
  <c r="A11" i="6"/>
  <c r="I4" i="3"/>
  <c r="K4" i="3" s="1"/>
  <c r="N16" i="3" l="1"/>
  <c r="L16" i="3"/>
  <c r="G3" i="2"/>
  <c r="P4" i="3"/>
  <c r="J12" i="2" l="1"/>
  <c r="H8" i="2"/>
  <c r="I8" i="2" s="1"/>
  <c r="A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<sst xmlns="http://schemas.openxmlformats.org/spreadsheetml/2006/main" count="65" uniqueCount="54">
  <si>
    <t>Plazo</t>
  </si>
  <si>
    <t>Plazo (Días)</t>
  </si>
  <si>
    <t>Fecha de Valuación =</t>
  </si>
  <si>
    <t>Fecha de Vencimiento =</t>
  </si>
  <si>
    <t>Valor Nominal (VN) =</t>
  </si>
  <si>
    <t>Plazo a vencimiento (t) =</t>
  </si>
  <si>
    <t>Tasa =</t>
  </si>
  <si>
    <t>Precio Cete =</t>
  </si>
  <si>
    <t>Valor Nominal</t>
  </si>
  <si>
    <t>Fecha de Valuación</t>
  </si>
  <si>
    <t>Fecha de Vencimiento</t>
  </si>
  <si>
    <t>Plazo a Vencimiento (días)</t>
  </si>
  <si>
    <t>Tasa Cupón</t>
  </si>
  <si>
    <t>R</t>
  </si>
  <si>
    <t>Precio Sucio</t>
  </si>
  <si>
    <t>Precio Limpio</t>
  </si>
  <si>
    <t>Compra del Cete</t>
  </si>
  <si>
    <t>Vencimiento</t>
  </si>
  <si>
    <t>Cupones por pagar (K)</t>
  </si>
  <si>
    <t>Compra del Bono M</t>
  </si>
  <si>
    <t xml:space="preserve"> ….</t>
  </si>
  <si>
    <t>+</t>
  </si>
  <si>
    <t>Tasa r</t>
  </si>
  <si>
    <t>Cupón C</t>
  </si>
  <si>
    <t>Sup T2</t>
  </si>
  <si>
    <t>Inf T1</t>
  </si>
  <si>
    <t>Valuación de un Cete</t>
  </si>
  <si>
    <t>Precio Cete V. B. =</t>
  </si>
  <si>
    <t>Días transcurridos del cupón vigente (d)</t>
  </si>
  <si>
    <t>Valuación de un BonoM</t>
  </si>
  <si>
    <t>Ganancia =</t>
  </si>
  <si>
    <t>$</t>
  </si>
  <si>
    <t>%</t>
  </si>
  <si>
    <r>
      <t xml:space="preserve">Para Inversionistas que se quedan </t>
    </r>
    <r>
      <rPr>
        <b/>
        <u/>
        <sz val="11"/>
        <color theme="1"/>
        <rFont val="Calibri"/>
        <family val="2"/>
        <scheme val="minor"/>
      </rPr>
      <t>a vencimiento</t>
    </r>
    <r>
      <rPr>
        <sz val="11"/>
        <color theme="1"/>
        <rFont val="Calibri"/>
        <family val="2"/>
        <scheme val="minor"/>
      </rPr>
      <t xml:space="preserve"> el instrumento la ganancia sería</t>
    </r>
  </si>
  <si>
    <t>¿Qué pasa si lo vendiera 1 mes después?</t>
  </si>
  <si>
    <r>
      <t>P</t>
    </r>
    <r>
      <rPr>
        <sz val="8"/>
        <color theme="1"/>
        <rFont val="Calibri"/>
        <family val="2"/>
        <scheme val="minor"/>
      </rPr>
      <t>1</t>
    </r>
  </si>
  <si>
    <r>
      <t>P</t>
    </r>
    <r>
      <rPr>
        <sz val="8"/>
        <color theme="1"/>
        <rFont val="Calibri"/>
        <family val="2"/>
        <scheme val="minor"/>
      </rPr>
      <t>2</t>
    </r>
  </si>
  <si>
    <r>
      <t>P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- P</t>
    </r>
    <r>
      <rPr>
        <sz val="8"/>
        <color theme="1"/>
        <rFont val="Calibri"/>
        <family val="2"/>
        <scheme val="minor"/>
      </rPr>
      <t>1</t>
    </r>
  </si>
  <si>
    <r>
      <t>P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/P</t>
    </r>
    <r>
      <rPr>
        <sz val="8"/>
        <color theme="1"/>
        <rFont val="Calibri"/>
        <family val="2"/>
        <scheme val="minor"/>
      </rPr>
      <t xml:space="preserve">1 - </t>
    </r>
    <r>
      <rPr>
        <sz val="11"/>
        <color theme="1"/>
        <rFont val="Calibri"/>
        <family val="2"/>
        <scheme val="minor"/>
      </rPr>
      <t>1</t>
    </r>
  </si>
  <si>
    <r>
      <t xml:space="preserve">Para Inversionistas que se quedan </t>
    </r>
    <r>
      <rPr>
        <b/>
        <u/>
        <sz val="11"/>
        <color theme="1"/>
        <rFont val="Calibri"/>
        <family val="2"/>
        <scheme val="minor"/>
      </rPr>
      <t>a vencimiento</t>
    </r>
    <r>
      <rPr>
        <sz val="11"/>
        <color theme="1"/>
        <rFont val="Calibri"/>
        <family val="2"/>
        <scheme val="minor"/>
      </rPr>
      <t xml:space="preserve"> el instrumento la ganancia sería:</t>
    </r>
  </si>
  <si>
    <t>Para Inversionistas que deciden vender en 1 año este bono la ganancia sería:</t>
  </si>
  <si>
    <t>Ganancia</t>
  </si>
  <si>
    <t>Curva de Tasas en Pesos (MXN) - 31-Dic-2024</t>
  </si>
  <si>
    <t>Proovedores de Precios y Factores de Riesgo</t>
  </si>
  <si>
    <t>PIP</t>
  </si>
  <si>
    <t>VALMER</t>
  </si>
  <si>
    <t>Blomberg</t>
  </si>
  <si>
    <t>(dias)</t>
  </si>
  <si>
    <t>(fecha ven- Fech val)</t>
  </si>
  <si>
    <t xml:space="preserve">Tasa corrsp al </t>
  </si>
  <si>
    <t>Nodo de 83 dias</t>
  </si>
  <si>
    <t>Necesitaria evaluar el instrumento al 31 de Ene 2025</t>
  </si>
  <si>
    <t>Numero de cupones por pagar Incluy el cupon vigente</t>
  </si>
  <si>
    <t>Han transcurrido 26 dias del cupon que va corriendo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</si>
</sst>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000%"/>
    <numFmt numFmtId="166" formatCode="_-* #,##0.0000_-;\-* #,##0.0000_-;_-* &quot;-&quot;??_-;_-@_-"/>
    <numFmt numFmtId="167" formatCode="_-&quot;$&quot;* #,##0_-;\-&quot;$&quot;* #,##0_-;_-&quot;$&quot;* &quot;-&quot;??_-;_-@_-"/>
    <numFmt numFmtId="168" formatCode="0.000%"/>
    <numFmt numFmtId="169" formatCode="_-&quot;$&quot;* #,##0.0000_-;\-&quot;$&quot;* #,##0.0000_-;_-&quot;$&quot;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3" fontId="0" fillId="0" borderId="0" xfId="0" applyNumberFormat="1"/>
    <xf numFmtId="14" fontId="0" fillId="0" borderId="0" xfId="0" applyNumberFormat="1"/>
    <xf numFmtId="0" fontId="3" fillId="2" borderId="0" xfId="0" applyFont="1" applyFill="1" applyAlignment="1">
      <alignment horizontal="left"/>
    </xf>
    <xf numFmtId="0" fontId="0" fillId="2" borderId="0" xfId="0" applyFill="1"/>
    <xf numFmtId="0" fontId="0" fillId="0" borderId="0" xfId="0" quotePrefix="1"/>
    <xf numFmtId="0" fontId="2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169" fontId="0" fillId="2" borderId="0" xfId="0" applyNumberFormat="1" applyFill="1"/>
    <xf numFmtId="0" fontId="5" fillId="0" borderId="0" xfId="0" applyFont="1" applyAlignment="1">
      <alignment horizontal="right"/>
    </xf>
    <xf numFmtId="2" fontId="6" fillId="0" borderId="1" xfId="0" applyNumberFormat="1" applyFont="1" applyBorder="1" applyAlignment="1">
      <alignment horizontal="left"/>
    </xf>
    <xf numFmtId="0" fontId="0" fillId="2" borderId="1" xfId="0" applyFill="1" applyBorder="1"/>
    <xf numFmtId="2" fontId="6" fillId="0" borderId="0" xfId="0" applyNumberFormat="1" applyFont="1" applyAlignment="1">
      <alignment horizontal="center"/>
    </xf>
    <xf numFmtId="2" fontId="6" fillId="3" borderId="1" xfId="0" applyNumberFormat="1" applyFont="1" applyFill="1" applyBorder="1" applyAlignment="1">
      <alignment horizontal="right"/>
    </xf>
    <xf numFmtId="2" fontId="6" fillId="4" borderId="0" xfId="0" applyNumberFormat="1" applyFont="1" applyFill="1" applyAlignment="1">
      <alignment horizontal="right"/>
    </xf>
    <xf numFmtId="2" fontId="6" fillId="4" borderId="0" xfId="0" applyNumberFormat="1" applyFont="1" applyFill="1" applyAlignment="1">
      <alignment horizontal="center"/>
    </xf>
    <xf numFmtId="1" fontId="6" fillId="4" borderId="0" xfId="0" applyNumberFormat="1" applyFont="1" applyFill="1" applyAlignment="1">
      <alignment horizontal="center"/>
    </xf>
    <xf numFmtId="2" fontId="7" fillId="0" borderId="0" xfId="0" applyNumberFormat="1" applyFont="1"/>
    <xf numFmtId="0" fontId="0" fillId="0" borderId="0" xfId="0" applyAlignment="1">
      <alignment wrapText="1"/>
    </xf>
    <xf numFmtId="164" fontId="0" fillId="4" borderId="0" xfId="2" applyNumberFormat="1" applyFont="1" applyFill="1"/>
    <xf numFmtId="165" fontId="0" fillId="4" borderId="0" xfId="1" applyNumberFormat="1" applyFont="1" applyFill="1"/>
    <xf numFmtId="166" fontId="2" fillId="5" borderId="0" xfId="0" applyNumberFormat="1" applyFont="1" applyFill="1"/>
    <xf numFmtId="168" fontId="0" fillId="4" borderId="0" xfId="1" applyNumberFormat="1" applyFont="1" applyFill="1"/>
    <xf numFmtId="169" fontId="0" fillId="6" borderId="0" xfId="0" applyNumberFormat="1" applyFill="1"/>
    <xf numFmtId="15" fontId="8" fillId="0" borderId="0" xfId="0" applyNumberFormat="1" applyFont="1" applyAlignment="1">
      <alignment horizontal="right"/>
    </xf>
    <xf numFmtId="15" fontId="8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0" applyFont="1"/>
    <xf numFmtId="167" fontId="0" fillId="0" borderId="0" xfId="3" applyNumberFormat="1" applyFont="1" applyFill="1"/>
    <xf numFmtId="0" fontId="0" fillId="0" borderId="0" xfId="0" applyAlignment="1">
      <alignment horizontal="center" vertical="center"/>
    </xf>
    <xf numFmtId="15" fontId="10" fillId="0" borderId="0" xfId="0" applyNumberFormat="1" applyFont="1" applyAlignment="1">
      <alignment horizontal="right"/>
    </xf>
    <xf numFmtId="15" fontId="10" fillId="0" borderId="0" xfId="0" applyNumberFormat="1" applyFont="1" applyAlignment="1">
      <alignment horizontal="left"/>
    </xf>
    <xf numFmtId="10" fontId="0" fillId="0" borderId="0" xfId="0" applyNumberFormat="1"/>
    <xf numFmtId="164" fontId="0" fillId="4" borderId="0" xfId="0" applyNumberFormat="1" applyFill="1"/>
    <xf numFmtId="44" fontId="0" fillId="4" borderId="0" xfId="0" applyNumberFormat="1" applyFill="1"/>
    <xf numFmtId="44" fontId="0" fillId="0" borderId="0" xfId="3" applyFont="1" applyFill="1"/>
    <xf numFmtId="14" fontId="2" fillId="0" borderId="0" xfId="0" applyNumberFormat="1" applyFont="1"/>
    <xf numFmtId="169" fontId="2" fillId="2" borderId="0" xfId="3" applyNumberFormat="1" applyFont="1" applyFill="1"/>
    <xf numFmtId="16" fontId="0" fillId="0" borderId="0" xfId="0" applyNumberFormat="1"/>
    <xf numFmtId="21" fontId="0" fillId="0" borderId="0" xfId="0" applyNumberFormat="1"/>
    <xf numFmtId="10" fontId="0" fillId="0" borderId="0" xfId="1" applyNumberFormat="1" applyFont="1" applyFill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right"/>
    </xf>
    <xf numFmtId="2" fontId="0" fillId="0" borderId="2" xfId="0" applyNumberFormat="1" applyBorder="1" applyAlignment="1">
      <alignment horizontal="center"/>
    </xf>
    <xf numFmtId="10" fontId="0" fillId="0" borderId="2" xfId="1" applyNumberFormat="1" applyFont="1" applyBorder="1" applyAlignment="1">
      <alignment horizontal="center"/>
    </xf>
    <xf numFmtId="15" fontId="8" fillId="2" borderId="1" xfId="0" applyNumberFormat="1" applyFont="1" applyFill="1" applyBorder="1"/>
    <xf numFmtId="0" fontId="0" fillId="0" borderId="0" xfId="0" applyAlignment="1">
      <alignment horizontal="right"/>
    </xf>
    <xf numFmtId="0" fontId="0" fillId="0" borderId="2" xfId="0" quotePrefix="1" applyBorder="1"/>
    <xf numFmtId="15" fontId="10" fillId="0" borderId="0" xfId="0" applyNumberFormat="1" applyFont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" fontId="5" fillId="0" borderId="0" xfId="0" applyNumberFormat="1" applyFont="1" applyAlignment="1">
      <alignment horizontal="center"/>
    </xf>
    <xf numFmtId="43" fontId="0" fillId="0" borderId="0" xfId="2" applyFont="1"/>
    <xf numFmtId="0" fontId="2" fillId="7" borderId="0" xfId="0" applyFont="1" applyFill="1"/>
    <xf numFmtId="10" fontId="0" fillId="0" borderId="0" xfId="1" applyNumberFormat="1" applyFont="1"/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9.3354913851276547E-2"/>
          <c:y val="0.10643629793987452"/>
          <c:w val="0.88609337948174682"/>
          <c:h val="0.81833799707252886"/>
        </c:manualLayout>
      </c:layout>
      <c:lineChart>
        <c:grouping val="standard"/>
        <c:varyColors val="0"/>
        <c:ser>
          <c:idx val="1"/>
          <c:order val="0"/>
          <c:tx>
            <c:v>Curva Mexicana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Curva!$A$4:$A$25</c:f>
              <c:strCache>
                <c:ptCount val="22"/>
                <c:pt idx="0">
                  <c:v>1D</c:v>
                </c:pt>
                <c:pt idx="1">
                  <c:v>7D</c:v>
                </c:pt>
                <c:pt idx="2">
                  <c:v>14D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6M</c:v>
                </c:pt>
                <c:pt idx="7">
                  <c:v>9M</c:v>
                </c:pt>
                <c:pt idx="8">
                  <c:v>1Y</c:v>
                </c:pt>
                <c:pt idx="9">
                  <c:v>2Y</c:v>
                </c:pt>
                <c:pt idx="10">
                  <c:v>3Y</c:v>
                </c:pt>
                <c:pt idx="11">
                  <c:v>4Y</c:v>
                </c:pt>
                <c:pt idx="12">
                  <c:v>5Y</c:v>
                </c:pt>
                <c:pt idx="13">
                  <c:v>6Y</c:v>
                </c:pt>
                <c:pt idx="14">
                  <c:v>7Y</c:v>
                </c:pt>
                <c:pt idx="15">
                  <c:v>8Y</c:v>
                </c:pt>
                <c:pt idx="16">
                  <c:v>9Y</c:v>
                </c:pt>
                <c:pt idx="17">
                  <c:v>10Y</c:v>
                </c:pt>
                <c:pt idx="18">
                  <c:v>15Y</c:v>
                </c:pt>
                <c:pt idx="19">
                  <c:v>20Y</c:v>
                </c:pt>
                <c:pt idx="20">
                  <c:v>25Y</c:v>
                </c:pt>
                <c:pt idx="21">
                  <c:v>30Y</c:v>
                </c:pt>
              </c:strCache>
            </c:strRef>
          </c:cat>
          <c:val>
            <c:numRef>
              <c:f>Curva!$C$4:$C$25</c:f>
              <c:numCache>
                <c:formatCode>0.00%</c:formatCode>
                <c:ptCount val="22"/>
                <c:pt idx="0">
                  <c:v>0.1</c:v>
                </c:pt>
                <c:pt idx="1">
                  <c:v>0.10009999999999999</c:v>
                </c:pt>
                <c:pt idx="2">
                  <c:v>0.1002</c:v>
                </c:pt>
                <c:pt idx="3">
                  <c:v>0.1002</c:v>
                </c:pt>
                <c:pt idx="4">
                  <c:v>0.1</c:v>
                </c:pt>
                <c:pt idx="5">
                  <c:v>9.98E-2</c:v>
                </c:pt>
                <c:pt idx="6">
                  <c:v>9.9700000000000011E-2</c:v>
                </c:pt>
                <c:pt idx="7">
                  <c:v>0.1003</c:v>
                </c:pt>
                <c:pt idx="8">
                  <c:v>0.10009999999999999</c:v>
                </c:pt>
                <c:pt idx="9">
                  <c:v>9.9729999999999999E-2</c:v>
                </c:pt>
                <c:pt idx="10">
                  <c:v>9.8239999999999994E-2</c:v>
                </c:pt>
                <c:pt idx="11">
                  <c:v>9.8699999999999996E-2</c:v>
                </c:pt>
                <c:pt idx="12">
                  <c:v>9.9739999999999995E-2</c:v>
                </c:pt>
                <c:pt idx="13">
                  <c:v>0.10009</c:v>
                </c:pt>
                <c:pt idx="14">
                  <c:v>0.10044</c:v>
                </c:pt>
                <c:pt idx="15">
                  <c:v>0.1012</c:v>
                </c:pt>
                <c:pt idx="16">
                  <c:v>0.10273</c:v>
                </c:pt>
                <c:pt idx="17">
                  <c:v>0.10424</c:v>
                </c:pt>
                <c:pt idx="18">
                  <c:v>0.10544000000000001</c:v>
                </c:pt>
                <c:pt idx="19">
                  <c:v>0.10704000000000001</c:v>
                </c:pt>
                <c:pt idx="20">
                  <c:v>0.10724</c:v>
                </c:pt>
                <c:pt idx="21">
                  <c:v>0.10743999999999999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D-419F-96C3-EF765E43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08208"/>
        <c:axId val="609808848"/>
      </c:lineChart>
      <c:catAx>
        <c:axId val="609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09808848"/>
        <c:crosses val="autoZero"/>
        <c:auto val="1"/>
        <c:lblAlgn val="ctr"/>
        <c:lblOffset val="100"/>
        <c:noMultiLvlLbl val="0"/>
      </c:catAx>
      <c:valAx>
        <c:axId val="60980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0980820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913" Type="http://schemas.openxmlformats.org/officeDocument/2006/relationships/customXml" Target="../ink/ink66.xml"/><Relationship Id="rId934" Type="http://schemas.openxmlformats.org/officeDocument/2006/relationships/customXml" Target="../ink/ink87.xml"/><Relationship Id="rId955" Type="http://schemas.openxmlformats.org/officeDocument/2006/relationships/customXml" Target="../ink/ink108.xml"/><Relationship Id="rId976" Type="http://schemas.openxmlformats.org/officeDocument/2006/relationships/customXml" Target="../ink/ink129.xml"/><Relationship Id="rId997" Type="http://schemas.openxmlformats.org/officeDocument/2006/relationships/customXml" Target="../ink/ink150.xml"/><Relationship Id="rId857" Type="http://schemas.openxmlformats.org/officeDocument/2006/relationships/customXml" Target="../ink/ink11.xml"/><Relationship Id="rId878" Type="http://schemas.openxmlformats.org/officeDocument/2006/relationships/customXml" Target="../ink/ink31.xml"/><Relationship Id="rId899" Type="http://schemas.openxmlformats.org/officeDocument/2006/relationships/customXml" Target="../ink/ink52.xml"/><Relationship Id="rId1000" Type="http://schemas.openxmlformats.org/officeDocument/2006/relationships/customXml" Target="../ink/ink153.xml"/><Relationship Id="rId1021" Type="http://schemas.openxmlformats.org/officeDocument/2006/relationships/customXml" Target="../ink/ink174.xml"/><Relationship Id="rId1042" Type="http://schemas.openxmlformats.org/officeDocument/2006/relationships/customXml" Target="../ink/ink195.xml"/><Relationship Id="rId903" Type="http://schemas.openxmlformats.org/officeDocument/2006/relationships/customXml" Target="../ink/ink56.xml"/><Relationship Id="rId924" Type="http://schemas.openxmlformats.org/officeDocument/2006/relationships/customXml" Target="../ink/ink77.xml"/><Relationship Id="rId945" Type="http://schemas.openxmlformats.org/officeDocument/2006/relationships/customXml" Target="../ink/ink98.xml"/><Relationship Id="rId966" Type="http://schemas.openxmlformats.org/officeDocument/2006/relationships/customXml" Target="../ink/ink119.xml"/><Relationship Id="rId987" Type="http://schemas.openxmlformats.org/officeDocument/2006/relationships/customXml" Target="../ink/ink140.xml"/><Relationship Id="rId868" Type="http://schemas.openxmlformats.org/officeDocument/2006/relationships/customXml" Target="../ink/ink21.xml"/><Relationship Id="rId889" Type="http://schemas.openxmlformats.org/officeDocument/2006/relationships/customXml" Target="../ink/ink42.xml"/><Relationship Id="rId1011" Type="http://schemas.openxmlformats.org/officeDocument/2006/relationships/customXml" Target="../ink/ink164.xml"/><Relationship Id="rId1032" Type="http://schemas.openxmlformats.org/officeDocument/2006/relationships/customXml" Target="../ink/ink185.xml"/><Relationship Id="rId914" Type="http://schemas.openxmlformats.org/officeDocument/2006/relationships/customXml" Target="../ink/ink67.xml"/><Relationship Id="rId935" Type="http://schemas.openxmlformats.org/officeDocument/2006/relationships/customXml" Target="../ink/ink88.xml"/><Relationship Id="rId956" Type="http://schemas.openxmlformats.org/officeDocument/2006/relationships/customXml" Target="../ink/ink109.xml"/><Relationship Id="rId977" Type="http://schemas.openxmlformats.org/officeDocument/2006/relationships/customXml" Target="../ink/ink130.xml"/><Relationship Id="rId998" Type="http://schemas.openxmlformats.org/officeDocument/2006/relationships/customXml" Target="../ink/ink151.xml"/><Relationship Id="rId858" Type="http://schemas.openxmlformats.org/officeDocument/2006/relationships/customXml" Target="../ink/ink12.xml"/><Relationship Id="rId879" Type="http://schemas.openxmlformats.org/officeDocument/2006/relationships/customXml" Target="../ink/ink32.xml"/><Relationship Id="rId1001" Type="http://schemas.openxmlformats.org/officeDocument/2006/relationships/customXml" Target="../ink/ink154.xml"/><Relationship Id="rId1022" Type="http://schemas.openxmlformats.org/officeDocument/2006/relationships/customXml" Target="../ink/ink175.xml"/><Relationship Id="rId1043" Type="http://schemas.openxmlformats.org/officeDocument/2006/relationships/customXml" Target="../ink/ink196.xml"/><Relationship Id="rId890" Type="http://schemas.openxmlformats.org/officeDocument/2006/relationships/customXml" Target="../ink/ink43.xml"/><Relationship Id="rId904" Type="http://schemas.openxmlformats.org/officeDocument/2006/relationships/customXml" Target="../ink/ink57.xml"/><Relationship Id="rId925" Type="http://schemas.openxmlformats.org/officeDocument/2006/relationships/customXml" Target="../ink/ink78.xml"/><Relationship Id="rId946" Type="http://schemas.openxmlformats.org/officeDocument/2006/relationships/customXml" Target="../ink/ink99.xml"/><Relationship Id="rId967" Type="http://schemas.openxmlformats.org/officeDocument/2006/relationships/customXml" Target="../ink/ink120.xml"/><Relationship Id="rId988" Type="http://schemas.openxmlformats.org/officeDocument/2006/relationships/customXml" Target="../ink/ink141.xml"/><Relationship Id="rId869" Type="http://schemas.openxmlformats.org/officeDocument/2006/relationships/customXml" Target="../ink/ink22.xml"/><Relationship Id="rId1012" Type="http://schemas.openxmlformats.org/officeDocument/2006/relationships/customXml" Target="../ink/ink165.xml"/><Relationship Id="rId1033" Type="http://schemas.openxmlformats.org/officeDocument/2006/relationships/customXml" Target="../ink/ink186.xml"/><Relationship Id="rId880" Type="http://schemas.openxmlformats.org/officeDocument/2006/relationships/customXml" Target="../ink/ink33.xml"/><Relationship Id="rId915" Type="http://schemas.openxmlformats.org/officeDocument/2006/relationships/customXml" Target="../ink/ink68.xml"/><Relationship Id="rId936" Type="http://schemas.openxmlformats.org/officeDocument/2006/relationships/customXml" Target="../ink/ink89.xml"/><Relationship Id="rId957" Type="http://schemas.openxmlformats.org/officeDocument/2006/relationships/customXml" Target="../ink/ink110.xml"/><Relationship Id="rId978" Type="http://schemas.openxmlformats.org/officeDocument/2006/relationships/customXml" Target="../ink/ink131.xml"/><Relationship Id="rId999" Type="http://schemas.openxmlformats.org/officeDocument/2006/relationships/customXml" Target="../ink/ink152.xml"/><Relationship Id="rId817" Type="http://schemas.openxmlformats.org/officeDocument/2006/relationships/image" Target="../media/image406.png"/><Relationship Id="rId859" Type="http://schemas.openxmlformats.org/officeDocument/2006/relationships/customXml" Target="../ink/ink13.xml"/><Relationship Id="rId1002" Type="http://schemas.openxmlformats.org/officeDocument/2006/relationships/customXml" Target="../ink/ink155.xml"/><Relationship Id="rId1023" Type="http://schemas.openxmlformats.org/officeDocument/2006/relationships/customXml" Target="../ink/ink176.xml"/><Relationship Id="rId870" Type="http://schemas.openxmlformats.org/officeDocument/2006/relationships/customXml" Target="../ink/ink23.xml"/><Relationship Id="rId1044" Type="http://schemas.openxmlformats.org/officeDocument/2006/relationships/customXml" Target="../ink/ink197.xml"/><Relationship Id="rId891" Type="http://schemas.openxmlformats.org/officeDocument/2006/relationships/customXml" Target="../ink/ink44.xml"/><Relationship Id="rId905" Type="http://schemas.openxmlformats.org/officeDocument/2006/relationships/customXml" Target="../ink/ink58.xml"/><Relationship Id="rId926" Type="http://schemas.openxmlformats.org/officeDocument/2006/relationships/customXml" Target="../ink/ink79.xml"/><Relationship Id="rId947" Type="http://schemas.openxmlformats.org/officeDocument/2006/relationships/customXml" Target="../ink/ink100.xml"/><Relationship Id="rId968" Type="http://schemas.openxmlformats.org/officeDocument/2006/relationships/customXml" Target="../ink/ink121.xml"/><Relationship Id="rId989" Type="http://schemas.openxmlformats.org/officeDocument/2006/relationships/customXml" Target="../ink/ink142.xml"/><Relationship Id="rId849" Type="http://schemas.openxmlformats.org/officeDocument/2006/relationships/image" Target="../media/image422.png"/><Relationship Id="rId1013" Type="http://schemas.openxmlformats.org/officeDocument/2006/relationships/customXml" Target="../ink/ink166.xml"/><Relationship Id="rId1034" Type="http://schemas.openxmlformats.org/officeDocument/2006/relationships/customXml" Target="../ink/ink187.xml"/><Relationship Id="rId860" Type="http://schemas.openxmlformats.org/officeDocument/2006/relationships/customXml" Target="../ink/ink14.xml"/><Relationship Id="rId881" Type="http://schemas.openxmlformats.org/officeDocument/2006/relationships/customXml" Target="../ink/ink34.xml"/><Relationship Id="rId911" Type="http://schemas.openxmlformats.org/officeDocument/2006/relationships/customXml" Target="../ink/ink64.xml"/><Relationship Id="rId916" Type="http://schemas.openxmlformats.org/officeDocument/2006/relationships/customXml" Target="../ink/ink69.xml"/><Relationship Id="rId932" Type="http://schemas.openxmlformats.org/officeDocument/2006/relationships/customXml" Target="../ink/ink85.xml"/><Relationship Id="rId937" Type="http://schemas.openxmlformats.org/officeDocument/2006/relationships/customXml" Target="../ink/ink90.xml"/><Relationship Id="rId958" Type="http://schemas.openxmlformats.org/officeDocument/2006/relationships/customXml" Target="../ink/ink111.xml"/><Relationship Id="rId979" Type="http://schemas.openxmlformats.org/officeDocument/2006/relationships/customXml" Target="../ink/ink132.xml"/><Relationship Id="rId818" Type="http://schemas.openxmlformats.org/officeDocument/2006/relationships/customXml" Target="../ink/ink3.xml"/><Relationship Id="rId953" Type="http://schemas.openxmlformats.org/officeDocument/2006/relationships/customXml" Target="../ink/ink106.xml"/><Relationship Id="rId974" Type="http://schemas.openxmlformats.org/officeDocument/2006/relationships/customXml" Target="../ink/ink127.xml"/><Relationship Id="rId990" Type="http://schemas.openxmlformats.org/officeDocument/2006/relationships/customXml" Target="../ink/ink143.xml"/><Relationship Id="rId995" Type="http://schemas.openxmlformats.org/officeDocument/2006/relationships/customXml" Target="../ink/ink148.xml"/><Relationship Id="rId1008" Type="http://schemas.openxmlformats.org/officeDocument/2006/relationships/customXml" Target="../ink/ink161.xml"/><Relationship Id="rId1029" Type="http://schemas.openxmlformats.org/officeDocument/2006/relationships/customXml" Target="../ink/ink182.xml"/><Relationship Id="rId855" Type="http://schemas.openxmlformats.org/officeDocument/2006/relationships/customXml" Target="../ink/ink9.xml"/><Relationship Id="rId876" Type="http://schemas.openxmlformats.org/officeDocument/2006/relationships/customXml" Target="../ink/ink29.xml"/><Relationship Id="rId1003" Type="http://schemas.openxmlformats.org/officeDocument/2006/relationships/customXml" Target="../ink/ink156.xml"/><Relationship Id="rId1024" Type="http://schemas.openxmlformats.org/officeDocument/2006/relationships/customXml" Target="../ink/ink177.xml"/><Relationship Id="rId1040" Type="http://schemas.openxmlformats.org/officeDocument/2006/relationships/customXml" Target="../ink/ink193.xml"/><Relationship Id="rId1045" Type="http://schemas.openxmlformats.org/officeDocument/2006/relationships/customXml" Target="../ink/ink198.xml"/><Relationship Id="rId850" Type="http://schemas.openxmlformats.org/officeDocument/2006/relationships/customXml" Target="../ink/ink4.xml"/><Relationship Id="rId871" Type="http://schemas.openxmlformats.org/officeDocument/2006/relationships/customXml" Target="../ink/ink24.xml"/><Relationship Id="rId892" Type="http://schemas.openxmlformats.org/officeDocument/2006/relationships/customXml" Target="../ink/ink45.xml"/><Relationship Id="rId897" Type="http://schemas.openxmlformats.org/officeDocument/2006/relationships/customXml" Target="../ink/ink50.xml"/><Relationship Id="rId901" Type="http://schemas.openxmlformats.org/officeDocument/2006/relationships/customXml" Target="../ink/ink54.xml"/><Relationship Id="rId906" Type="http://schemas.openxmlformats.org/officeDocument/2006/relationships/customXml" Target="../ink/ink59.xml"/><Relationship Id="rId922" Type="http://schemas.openxmlformats.org/officeDocument/2006/relationships/customXml" Target="../ink/ink75.xml"/><Relationship Id="rId927" Type="http://schemas.openxmlformats.org/officeDocument/2006/relationships/customXml" Target="../ink/ink80.xml"/><Relationship Id="rId948" Type="http://schemas.openxmlformats.org/officeDocument/2006/relationships/customXml" Target="../ink/ink101.xml"/><Relationship Id="rId969" Type="http://schemas.openxmlformats.org/officeDocument/2006/relationships/customXml" Target="../ink/ink122.xml"/><Relationship Id="rId943" Type="http://schemas.openxmlformats.org/officeDocument/2006/relationships/customXml" Target="../ink/ink96.xml"/><Relationship Id="rId964" Type="http://schemas.openxmlformats.org/officeDocument/2006/relationships/customXml" Target="../ink/ink117.xml"/><Relationship Id="rId985" Type="http://schemas.openxmlformats.org/officeDocument/2006/relationships/customXml" Target="../ink/ink138.xml"/><Relationship Id="rId1019" Type="http://schemas.openxmlformats.org/officeDocument/2006/relationships/customXml" Target="../ink/ink172.xml"/><Relationship Id="rId866" Type="http://schemas.openxmlformats.org/officeDocument/2006/relationships/customXml" Target="../ink/ink19.xml"/><Relationship Id="rId980" Type="http://schemas.openxmlformats.org/officeDocument/2006/relationships/customXml" Target="../ink/ink133.xml"/><Relationship Id="rId1014" Type="http://schemas.openxmlformats.org/officeDocument/2006/relationships/customXml" Target="../ink/ink167.xml"/><Relationship Id="rId1030" Type="http://schemas.openxmlformats.org/officeDocument/2006/relationships/customXml" Target="../ink/ink183.xml"/><Relationship Id="rId1035" Type="http://schemas.openxmlformats.org/officeDocument/2006/relationships/customXml" Target="../ink/ink188.xml"/><Relationship Id="rId861" Type="http://schemas.openxmlformats.org/officeDocument/2006/relationships/customXml" Target="../ink/ink15.xml"/><Relationship Id="rId882" Type="http://schemas.openxmlformats.org/officeDocument/2006/relationships/customXml" Target="../ink/ink35.xml"/><Relationship Id="rId887" Type="http://schemas.openxmlformats.org/officeDocument/2006/relationships/customXml" Target="../ink/ink40.xml"/><Relationship Id="rId917" Type="http://schemas.openxmlformats.org/officeDocument/2006/relationships/customXml" Target="../ink/ink70.xml"/><Relationship Id="rId938" Type="http://schemas.openxmlformats.org/officeDocument/2006/relationships/customXml" Target="../ink/ink91.xml"/><Relationship Id="rId959" Type="http://schemas.openxmlformats.org/officeDocument/2006/relationships/customXml" Target="../ink/ink112.xml"/><Relationship Id="rId912" Type="http://schemas.openxmlformats.org/officeDocument/2006/relationships/customXml" Target="../ink/ink65.xml"/><Relationship Id="rId933" Type="http://schemas.openxmlformats.org/officeDocument/2006/relationships/customXml" Target="../ink/ink86.xml"/><Relationship Id="rId954" Type="http://schemas.openxmlformats.org/officeDocument/2006/relationships/customXml" Target="../ink/ink107.xml"/><Relationship Id="rId975" Type="http://schemas.openxmlformats.org/officeDocument/2006/relationships/customXml" Target="../ink/ink128.xml"/><Relationship Id="rId996" Type="http://schemas.openxmlformats.org/officeDocument/2006/relationships/customXml" Target="../ink/ink149.xml"/><Relationship Id="rId1009" Type="http://schemas.openxmlformats.org/officeDocument/2006/relationships/customXml" Target="../ink/ink162.xml"/><Relationship Id="rId856" Type="http://schemas.openxmlformats.org/officeDocument/2006/relationships/customXml" Target="../ink/ink10.xml"/><Relationship Id="rId970" Type="http://schemas.openxmlformats.org/officeDocument/2006/relationships/customXml" Target="../ink/ink123.xml"/><Relationship Id="rId991" Type="http://schemas.openxmlformats.org/officeDocument/2006/relationships/customXml" Target="../ink/ink144.xml"/><Relationship Id="rId1004" Type="http://schemas.openxmlformats.org/officeDocument/2006/relationships/customXml" Target="../ink/ink157.xml"/><Relationship Id="rId1025" Type="http://schemas.openxmlformats.org/officeDocument/2006/relationships/customXml" Target="../ink/ink178.xml"/><Relationship Id="rId851" Type="http://schemas.openxmlformats.org/officeDocument/2006/relationships/customXml" Target="../ink/ink5.xml"/><Relationship Id="rId872" Type="http://schemas.openxmlformats.org/officeDocument/2006/relationships/customXml" Target="../ink/ink25.xml"/><Relationship Id="rId877" Type="http://schemas.openxmlformats.org/officeDocument/2006/relationships/customXml" Target="../ink/ink30.xml"/><Relationship Id="rId893" Type="http://schemas.openxmlformats.org/officeDocument/2006/relationships/customXml" Target="../ink/ink46.xml"/><Relationship Id="rId898" Type="http://schemas.openxmlformats.org/officeDocument/2006/relationships/customXml" Target="../ink/ink51.xml"/><Relationship Id="rId907" Type="http://schemas.openxmlformats.org/officeDocument/2006/relationships/customXml" Target="../ink/ink60.xml"/><Relationship Id="rId928" Type="http://schemas.openxmlformats.org/officeDocument/2006/relationships/customXml" Target="../ink/ink81.xml"/><Relationship Id="rId1020" Type="http://schemas.openxmlformats.org/officeDocument/2006/relationships/customXml" Target="../ink/ink173.xml"/><Relationship Id="rId1041" Type="http://schemas.openxmlformats.org/officeDocument/2006/relationships/customXml" Target="../ink/ink194.xml"/><Relationship Id="rId902" Type="http://schemas.openxmlformats.org/officeDocument/2006/relationships/customXml" Target="../ink/ink55.xml"/><Relationship Id="rId923" Type="http://schemas.openxmlformats.org/officeDocument/2006/relationships/customXml" Target="../ink/ink76.xml"/><Relationship Id="rId944" Type="http://schemas.openxmlformats.org/officeDocument/2006/relationships/customXml" Target="../ink/ink97.xml"/><Relationship Id="rId949" Type="http://schemas.openxmlformats.org/officeDocument/2006/relationships/customXml" Target="../ink/ink102.xml"/><Relationship Id="rId965" Type="http://schemas.openxmlformats.org/officeDocument/2006/relationships/customXml" Target="../ink/ink118.xml"/><Relationship Id="rId986" Type="http://schemas.openxmlformats.org/officeDocument/2006/relationships/customXml" Target="../ink/ink139.xml"/><Relationship Id="rId960" Type="http://schemas.openxmlformats.org/officeDocument/2006/relationships/customXml" Target="../ink/ink113.xml"/><Relationship Id="rId981" Type="http://schemas.openxmlformats.org/officeDocument/2006/relationships/customXml" Target="../ink/ink134.xml"/><Relationship Id="rId1015" Type="http://schemas.openxmlformats.org/officeDocument/2006/relationships/customXml" Target="../ink/ink168.xml"/><Relationship Id="rId1036" Type="http://schemas.openxmlformats.org/officeDocument/2006/relationships/customXml" Target="../ink/ink189.xml"/><Relationship Id="rId862" Type="http://schemas.openxmlformats.org/officeDocument/2006/relationships/customXml" Target="../ink/ink16.xml"/><Relationship Id="rId867" Type="http://schemas.openxmlformats.org/officeDocument/2006/relationships/customXml" Target="../ink/ink20.xml"/><Relationship Id="rId883" Type="http://schemas.openxmlformats.org/officeDocument/2006/relationships/customXml" Target="../ink/ink36.xml"/><Relationship Id="rId888" Type="http://schemas.openxmlformats.org/officeDocument/2006/relationships/customXml" Target="../ink/ink41.xml"/><Relationship Id="rId918" Type="http://schemas.openxmlformats.org/officeDocument/2006/relationships/customXml" Target="../ink/ink71.xml"/><Relationship Id="rId1010" Type="http://schemas.openxmlformats.org/officeDocument/2006/relationships/customXml" Target="../ink/ink163.xml"/><Relationship Id="rId1031" Type="http://schemas.openxmlformats.org/officeDocument/2006/relationships/customXml" Target="../ink/ink184.xml"/><Relationship Id="rId939" Type="http://schemas.openxmlformats.org/officeDocument/2006/relationships/customXml" Target="../ink/ink92.xml"/><Relationship Id="rId950" Type="http://schemas.openxmlformats.org/officeDocument/2006/relationships/customXml" Target="../ink/ink103.xml"/><Relationship Id="rId971" Type="http://schemas.openxmlformats.org/officeDocument/2006/relationships/customXml" Target="../ink/ink124.xml"/><Relationship Id="rId992" Type="http://schemas.openxmlformats.org/officeDocument/2006/relationships/customXml" Target="../ink/ink145.xml"/><Relationship Id="rId1005" Type="http://schemas.openxmlformats.org/officeDocument/2006/relationships/customXml" Target="../ink/ink158.xml"/><Relationship Id="rId1026" Type="http://schemas.openxmlformats.org/officeDocument/2006/relationships/customXml" Target="../ink/ink179.xml"/><Relationship Id="rId852" Type="http://schemas.openxmlformats.org/officeDocument/2006/relationships/customXml" Target="../ink/ink6.xml"/><Relationship Id="rId873" Type="http://schemas.openxmlformats.org/officeDocument/2006/relationships/customXml" Target="../ink/ink26.xml"/><Relationship Id="rId908" Type="http://schemas.openxmlformats.org/officeDocument/2006/relationships/customXml" Target="../ink/ink61.xml"/><Relationship Id="rId894" Type="http://schemas.openxmlformats.org/officeDocument/2006/relationships/customXml" Target="../ink/ink47.xml"/><Relationship Id="rId929" Type="http://schemas.openxmlformats.org/officeDocument/2006/relationships/customXml" Target="../ink/ink82.xml"/><Relationship Id="rId940" Type="http://schemas.openxmlformats.org/officeDocument/2006/relationships/customXml" Target="../ink/ink93.xml"/><Relationship Id="rId961" Type="http://schemas.openxmlformats.org/officeDocument/2006/relationships/customXml" Target="../ink/ink114.xml"/><Relationship Id="rId982" Type="http://schemas.openxmlformats.org/officeDocument/2006/relationships/customXml" Target="../ink/ink135.xml"/><Relationship Id="rId1016" Type="http://schemas.openxmlformats.org/officeDocument/2006/relationships/customXml" Target="../ink/ink169.xml"/><Relationship Id="rId393" Type="http://schemas.openxmlformats.org/officeDocument/2006/relationships/image" Target="../media/image194.png"/><Relationship Id="rId863" Type="http://schemas.openxmlformats.org/officeDocument/2006/relationships/chart" Target="../charts/chart1.xml"/><Relationship Id="rId1037" Type="http://schemas.openxmlformats.org/officeDocument/2006/relationships/customXml" Target="../ink/ink190.xml"/><Relationship Id="rId884" Type="http://schemas.openxmlformats.org/officeDocument/2006/relationships/customXml" Target="../ink/ink37.xml"/><Relationship Id="rId919" Type="http://schemas.openxmlformats.org/officeDocument/2006/relationships/customXml" Target="../ink/ink72.xml"/><Relationship Id="rId930" Type="http://schemas.openxmlformats.org/officeDocument/2006/relationships/customXml" Target="../ink/ink83.xml"/><Relationship Id="rId951" Type="http://schemas.openxmlformats.org/officeDocument/2006/relationships/customXml" Target="../ink/ink104.xml"/><Relationship Id="rId972" Type="http://schemas.openxmlformats.org/officeDocument/2006/relationships/customXml" Target="../ink/ink125.xml"/><Relationship Id="rId993" Type="http://schemas.openxmlformats.org/officeDocument/2006/relationships/customXml" Target="../ink/ink146.xml"/><Relationship Id="rId1006" Type="http://schemas.openxmlformats.org/officeDocument/2006/relationships/customXml" Target="../ink/ink159.xml"/><Relationship Id="rId1027" Type="http://schemas.openxmlformats.org/officeDocument/2006/relationships/customXml" Target="../ink/ink180.xml"/><Relationship Id="rId853" Type="http://schemas.openxmlformats.org/officeDocument/2006/relationships/customXml" Target="../ink/ink7.xml"/><Relationship Id="rId874" Type="http://schemas.openxmlformats.org/officeDocument/2006/relationships/customXml" Target="../ink/ink27.xml"/><Relationship Id="rId895" Type="http://schemas.openxmlformats.org/officeDocument/2006/relationships/customXml" Target="../ink/ink48.xml"/><Relationship Id="rId909" Type="http://schemas.openxmlformats.org/officeDocument/2006/relationships/customXml" Target="../ink/ink62.xml"/><Relationship Id="rId920" Type="http://schemas.openxmlformats.org/officeDocument/2006/relationships/customXml" Target="../ink/ink73.xml"/><Relationship Id="rId941" Type="http://schemas.openxmlformats.org/officeDocument/2006/relationships/customXml" Target="../ink/ink94.xml"/><Relationship Id="rId962" Type="http://schemas.openxmlformats.org/officeDocument/2006/relationships/customXml" Target="../ink/ink115.xml"/><Relationship Id="rId983" Type="http://schemas.openxmlformats.org/officeDocument/2006/relationships/customXml" Target="../ink/ink136.xml"/><Relationship Id="rId394" Type="http://schemas.openxmlformats.org/officeDocument/2006/relationships/customXml" Target="../ink/ink2.xml"/><Relationship Id="rId1017" Type="http://schemas.openxmlformats.org/officeDocument/2006/relationships/customXml" Target="../ink/ink170.xml"/><Relationship Id="rId1038" Type="http://schemas.openxmlformats.org/officeDocument/2006/relationships/customXml" Target="../ink/ink191.xml"/><Relationship Id="rId1" Type="http://schemas.openxmlformats.org/officeDocument/2006/relationships/customXml" Target="../ink/ink1.xml"/><Relationship Id="rId864" Type="http://schemas.openxmlformats.org/officeDocument/2006/relationships/customXml" Target="../ink/ink17.xml"/><Relationship Id="rId885" Type="http://schemas.openxmlformats.org/officeDocument/2006/relationships/customXml" Target="../ink/ink38.xml"/><Relationship Id="rId910" Type="http://schemas.openxmlformats.org/officeDocument/2006/relationships/customXml" Target="../ink/ink63.xml"/><Relationship Id="rId931" Type="http://schemas.openxmlformats.org/officeDocument/2006/relationships/customXml" Target="../ink/ink84.xml"/><Relationship Id="rId952" Type="http://schemas.openxmlformats.org/officeDocument/2006/relationships/customXml" Target="../ink/ink105.xml"/><Relationship Id="rId973" Type="http://schemas.openxmlformats.org/officeDocument/2006/relationships/customXml" Target="../ink/ink126.xml"/><Relationship Id="rId994" Type="http://schemas.openxmlformats.org/officeDocument/2006/relationships/customXml" Target="../ink/ink147.xml"/><Relationship Id="rId1007" Type="http://schemas.openxmlformats.org/officeDocument/2006/relationships/customXml" Target="../ink/ink160.xml"/><Relationship Id="rId1028" Type="http://schemas.openxmlformats.org/officeDocument/2006/relationships/customXml" Target="../ink/ink181.xml"/><Relationship Id="rId854" Type="http://schemas.openxmlformats.org/officeDocument/2006/relationships/customXml" Target="../ink/ink8.xml"/><Relationship Id="rId875" Type="http://schemas.openxmlformats.org/officeDocument/2006/relationships/customXml" Target="../ink/ink28.xml"/><Relationship Id="rId896" Type="http://schemas.openxmlformats.org/officeDocument/2006/relationships/customXml" Target="../ink/ink49.xml"/><Relationship Id="rId900" Type="http://schemas.openxmlformats.org/officeDocument/2006/relationships/customXml" Target="../ink/ink53.xml"/><Relationship Id="rId921" Type="http://schemas.openxmlformats.org/officeDocument/2006/relationships/customXml" Target="../ink/ink74.xml"/><Relationship Id="rId942" Type="http://schemas.openxmlformats.org/officeDocument/2006/relationships/customXml" Target="../ink/ink95.xml"/><Relationship Id="rId963" Type="http://schemas.openxmlformats.org/officeDocument/2006/relationships/customXml" Target="../ink/ink116.xml"/><Relationship Id="rId984" Type="http://schemas.openxmlformats.org/officeDocument/2006/relationships/customXml" Target="../ink/ink137.xml"/><Relationship Id="rId1018" Type="http://schemas.openxmlformats.org/officeDocument/2006/relationships/customXml" Target="../ink/ink171.xml"/><Relationship Id="rId1039" Type="http://schemas.openxmlformats.org/officeDocument/2006/relationships/customXml" Target="../ink/ink192.xml"/><Relationship Id="rId865" Type="http://schemas.openxmlformats.org/officeDocument/2006/relationships/customXml" Target="../ink/ink18.xml"/><Relationship Id="rId886" Type="http://schemas.openxmlformats.org/officeDocument/2006/relationships/customXml" Target="../ink/ink3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611682</xdr:colOff>
      <xdr:row>12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Entrada de lápiz 1">
              <a:extLst>
                <a:ext uri="{FF2B5EF4-FFF2-40B4-BE49-F238E27FC236}">
                  <a16:creationId xmlns:a16="http://schemas.microsoft.com/office/drawing/2014/main" id="{BB8C6A61-DA76-46FE-B545-92080532B6A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0</xdr:col>
      <xdr:colOff>65520</xdr:colOff>
      <xdr:row>20</xdr:row>
      <xdr:rowOff>82208</xdr:rowOff>
    </xdr:from>
    <xdr:ext cx="9720" cy="5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4">
          <xdr14:nvContentPartPr>
            <xdr14:cNvPr id="3" name="Entrada de lápiz 2">
              <a:extLst>
                <a:ext uri="{FF2B5EF4-FFF2-40B4-BE49-F238E27FC236}">
                  <a16:creationId xmlns:a16="http://schemas.microsoft.com/office/drawing/2014/main" id="{78CA8B37-FFA5-480A-9F0F-501784087043}"/>
                </a:ext>
              </a:extLst>
            </xdr14:cNvPr>
            <xdr14:cNvContentPartPr/>
          </xdr14:nvContentPartPr>
          <xdr14:nvPr macro=""/>
          <xdr14:xfrm>
            <a:off x="65520" y="3954960"/>
            <a:ext cx="9720" cy="5040"/>
          </xdr14:xfrm>
        </xdr:contentPart>
      </mc:Choice>
      <mc:Fallback xmlns="">
        <xdr:pic>
          <xdr:nvPicPr>
            <xdr:cNvPr id="440" name="Entrada de lápiz 439">
              <a:extLst>
                <a:ext uri="{FF2B5EF4-FFF2-40B4-BE49-F238E27FC236}">
                  <a16:creationId xmlns:a16="http://schemas.microsoft.com/office/drawing/2014/main" id="{67019A1B-2011-3240-BF43-26DA33D033E8}"/>
                </a:ext>
              </a:extLst>
            </xdr:cNvPr>
            <xdr:cNvPicPr/>
          </xdr:nvPicPr>
          <xdr:blipFill>
            <a:blip xmlns:r="http://schemas.openxmlformats.org/officeDocument/2006/relationships" r:embed="rId817"/>
            <a:stretch>
              <a:fillRect/>
            </a:stretch>
          </xdr:blipFill>
          <xdr:spPr>
            <a:xfrm>
              <a:off x="56880" y="3945960"/>
              <a:ext cx="27360" cy="226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0</xdr:col>
      <xdr:colOff>322560</xdr:colOff>
      <xdr:row>22</xdr:row>
      <xdr:rowOff>52052</xdr:rowOff>
    </xdr:from>
    <xdr:ext cx="98280" cy="2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8">
          <xdr14:nvContentPartPr>
            <xdr14:cNvPr id="4" name="Entrada de lápiz 3">
              <a:extLst>
                <a:ext uri="{FF2B5EF4-FFF2-40B4-BE49-F238E27FC236}">
                  <a16:creationId xmlns:a16="http://schemas.microsoft.com/office/drawing/2014/main" id="{ADAC23DC-2FC7-4257-9BD7-41BE0710612F}"/>
                </a:ext>
              </a:extLst>
            </xdr14:cNvPr>
            <xdr14:cNvContentPartPr/>
          </xdr14:nvContentPartPr>
          <xdr14:nvPr macro=""/>
          <xdr14:xfrm>
            <a:off x="322560" y="4312080"/>
            <a:ext cx="98280" cy="2520"/>
          </xdr14:xfrm>
        </xdr:contentPart>
      </mc:Choice>
      <mc:Fallback xmlns="">
        <xdr:pic>
          <xdr:nvPicPr>
            <xdr:cNvPr id="467" name="Entrada de lápiz 466">
              <a:extLst>
                <a:ext uri="{FF2B5EF4-FFF2-40B4-BE49-F238E27FC236}">
                  <a16:creationId xmlns:a16="http://schemas.microsoft.com/office/drawing/2014/main" id="{19DB9972-5D3C-C04C-8C52-C903F5D4E62E}"/>
                </a:ext>
              </a:extLst>
            </xdr:cNvPr>
            <xdr:cNvPicPr/>
          </xdr:nvPicPr>
          <xdr:blipFill>
            <a:blip xmlns:r="http://schemas.openxmlformats.org/officeDocument/2006/relationships" r:embed="rId849"/>
            <a:stretch>
              <a:fillRect/>
            </a:stretch>
          </xdr:blipFill>
          <xdr:spPr>
            <a:xfrm>
              <a:off x="313560" y="4303080"/>
              <a:ext cx="115920" cy="20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0">
          <xdr14:nvContentPartPr>
            <xdr14:cNvPr id="5" name="Entrada de lápiz 4">
              <a:extLst>
                <a:ext uri="{FF2B5EF4-FFF2-40B4-BE49-F238E27FC236}">
                  <a16:creationId xmlns:a16="http://schemas.microsoft.com/office/drawing/2014/main" id="{F8497503-7714-41E6-B060-7C6301430BF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1">
          <xdr14:nvContentPartPr>
            <xdr14:cNvPr id="6" name="Entrada de lápiz 5">
              <a:extLst>
                <a:ext uri="{FF2B5EF4-FFF2-40B4-BE49-F238E27FC236}">
                  <a16:creationId xmlns:a16="http://schemas.microsoft.com/office/drawing/2014/main" id="{E89A3766-FF27-4540-9351-1274C440F65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2">
          <xdr14:nvContentPartPr>
            <xdr14:cNvPr id="7" name="Entrada de lápiz 6">
              <a:extLst>
                <a:ext uri="{FF2B5EF4-FFF2-40B4-BE49-F238E27FC236}">
                  <a16:creationId xmlns:a16="http://schemas.microsoft.com/office/drawing/2014/main" id="{C99F4511-3097-4513-948A-3BCC6016458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3">
          <xdr14:nvContentPartPr>
            <xdr14:cNvPr id="8" name="Entrada de lápiz 7">
              <a:extLst>
                <a:ext uri="{FF2B5EF4-FFF2-40B4-BE49-F238E27FC236}">
                  <a16:creationId xmlns:a16="http://schemas.microsoft.com/office/drawing/2014/main" id="{4BD005EF-372D-4860-8136-6740155AF12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4">
          <xdr14:nvContentPartPr>
            <xdr14:cNvPr id="9" name="Entrada de lápiz 8">
              <a:extLst>
                <a:ext uri="{FF2B5EF4-FFF2-40B4-BE49-F238E27FC236}">
                  <a16:creationId xmlns:a16="http://schemas.microsoft.com/office/drawing/2014/main" id="{3127AF18-5D9D-4070-AACF-F54E5B234DC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5">
          <xdr14:nvContentPartPr>
            <xdr14:cNvPr id="10" name="Entrada de lápiz 9">
              <a:extLst>
                <a:ext uri="{FF2B5EF4-FFF2-40B4-BE49-F238E27FC236}">
                  <a16:creationId xmlns:a16="http://schemas.microsoft.com/office/drawing/2014/main" id="{88B7DED4-6F76-45D5-AC59-6807B305BCA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6">
          <xdr14:nvContentPartPr>
            <xdr14:cNvPr id="11" name="Entrada de lápiz 10">
              <a:extLst>
                <a:ext uri="{FF2B5EF4-FFF2-40B4-BE49-F238E27FC236}">
                  <a16:creationId xmlns:a16="http://schemas.microsoft.com/office/drawing/2014/main" id="{4446FFD0-AA73-41AF-899B-AC731A0B8AC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20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7">
          <xdr14:nvContentPartPr>
            <xdr14:cNvPr id="12" name="Entrada de lápiz 11">
              <a:extLst>
                <a:ext uri="{FF2B5EF4-FFF2-40B4-BE49-F238E27FC236}">
                  <a16:creationId xmlns:a16="http://schemas.microsoft.com/office/drawing/2014/main" id="{68932C5C-B55D-423E-9C87-97E43428ED8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21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8">
          <xdr14:nvContentPartPr>
            <xdr14:cNvPr id="13" name="Entrada de lápiz 12">
              <a:extLst>
                <a:ext uri="{FF2B5EF4-FFF2-40B4-BE49-F238E27FC236}">
                  <a16:creationId xmlns:a16="http://schemas.microsoft.com/office/drawing/2014/main" id="{2E6CB3E9-D22D-4332-B862-BE5D35A2030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22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9">
          <xdr14:nvContentPartPr>
            <xdr14:cNvPr id="14" name="Entrada de lápiz 13">
              <a:extLst>
                <a:ext uri="{FF2B5EF4-FFF2-40B4-BE49-F238E27FC236}">
                  <a16:creationId xmlns:a16="http://schemas.microsoft.com/office/drawing/2014/main" id="{2C37964B-C34E-4F65-B6C0-E12687F4ED2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0">
          <xdr14:nvContentPartPr>
            <xdr14:cNvPr id="15" name="Entrada de lápiz 14">
              <a:extLst>
                <a:ext uri="{FF2B5EF4-FFF2-40B4-BE49-F238E27FC236}">
                  <a16:creationId xmlns:a16="http://schemas.microsoft.com/office/drawing/2014/main" id="{B1FE34D6-5890-41EE-81DD-ED1DEA70D45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1">
          <xdr14:nvContentPartPr>
            <xdr14:cNvPr id="16" name="Entrada de lápiz 15">
              <a:extLst>
                <a:ext uri="{FF2B5EF4-FFF2-40B4-BE49-F238E27FC236}">
                  <a16:creationId xmlns:a16="http://schemas.microsoft.com/office/drawing/2014/main" id="{9EE238F4-1C25-4454-93A7-FB608FB0914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2">
          <xdr14:nvContentPartPr>
            <xdr14:cNvPr id="17" name="Entrada de lápiz 16">
              <a:extLst>
                <a:ext uri="{FF2B5EF4-FFF2-40B4-BE49-F238E27FC236}">
                  <a16:creationId xmlns:a16="http://schemas.microsoft.com/office/drawing/2014/main" id="{A78693EF-248C-41E1-81AD-78C2E26DD61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twoCellAnchor>
    <xdr:from>
      <xdr:col>6</xdr:col>
      <xdr:colOff>45720</xdr:colOff>
      <xdr:row>1</xdr:row>
      <xdr:rowOff>45720</xdr:rowOff>
    </xdr:from>
    <xdr:to>
      <xdr:col>14</xdr:col>
      <xdr:colOff>747209</xdr:colOff>
      <xdr:row>26</xdr:row>
      <xdr:rowOff>19048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44BA4816-002D-4DC3-B523-0622AE4EA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3"/>
        </a:graphicData>
      </a:graphic>
    </xdr:graphicFrame>
    <xdr:clientData/>
  </xdr:two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4">
          <xdr14:nvContentPartPr>
            <xdr14:cNvPr id="19" name="Entrada de lápiz 18">
              <a:extLst>
                <a:ext uri="{FF2B5EF4-FFF2-40B4-BE49-F238E27FC236}">
                  <a16:creationId xmlns:a16="http://schemas.microsoft.com/office/drawing/2014/main" id="{95759C95-B180-4F69-92DE-E795FE5EFF6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5">
          <xdr14:nvContentPartPr>
            <xdr14:cNvPr id="20" name="Entrada de lápiz 19">
              <a:extLst>
                <a:ext uri="{FF2B5EF4-FFF2-40B4-BE49-F238E27FC236}">
                  <a16:creationId xmlns:a16="http://schemas.microsoft.com/office/drawing/2014/main" id="{46FF520E-92D8-49A3-B39D-BF4F77388B1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6">
          <xdr14:nvContentPartPr>
            <xdr14:cNvPr id="21" name="Entrada de lápiz 20">
              <a:extLst>
                <a:ext uri="{FF2B5EF4-FFF2-40B4-BE49-F238E27FC236}">
                  <a16:creationId xmlns:a16="http://schemas.microsoft.com/office/drawing/2014/main" id="{81C42D5D-597F-48C1-9A54-A06E19C39B1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7">
          <xdr14:nvContentPartPr>
            <xdr14:cNvPr id="22" name="Entrada de lápiz 21">
              <a:extLst>
                <a:ext uri="{FF2B5EF4-FFF2-40B4-BE49-F238E27FC236}">
                  <a16:creationId xmlns:a16="http://schemas.microsoft.com/office/drawing/2014/main" id="{BDAC7144-563D-4D01-8774-D2871E43DCB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8">
          <xdr14:nvContentPartPr>
            <xdr14:cNvPr id="23" name="Entrada de lápiz 22">
              <a:extLst>
                <a:ext uri="{FF2B5EF4-FFF2-40B4-BE49-F238E27FC236}">
                  <a16:creationId xmlns:a16="http://schemas.microsoft.com/office/drawing/2014/main" id="{94C4B802-6DC6-41B8-93A0-90D31AA4817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9">
          <xdr14:nvContentPartPr>
            <xdr14:cNvPr id="24" name="Entrada de lápiz 23">
              <a:extLst>
                <a:ext uri="{FF2B5EF4-FFF2-40B4-BE49-F238E27FC236}">
                  <a16:creationId xmlns:a16="http://schemas.microsoft.com/office/drawing/2014/main" id="{F23F2E2F-6CDA-4EA5-84EC-29451F26D5D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0">
          <xdr14:nvContentPartPr>
            <xdr14:cNvPr id="25" name="Entrada de lápiz 24">
              <a:extLst>
                <a:ext uri="{FF2B5EF4-FFF2-40B4-BE49-F238E27FC236}">
                  <a16:creationId xmlns:a16="http://schemas.microsoft.com/office/drawing/2014/main" id="{12E155D0-84D3-4CCD-BD91-A44E78F662C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1">
          <xdr14:nvContentPartPr>
            <xdr14:cNvPr id="26" name="Entrada de lápiz 25">
              <a:extLst>
                <a:ext uri="{FF2B5EF4-FFF2-40B4-BE49-F238E27FC236}">
                  <a16:creationId xmlns:a16="http://schemas.microsoft.com/office/drawing/2014/main" id="{10F2F446-7CFF-4CE2-856D-C3C4D2273BA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2">
          <xdr14:nvContentPartPr>
            <xdr14:cNvPr id="27" name="Entrada de lápiz 26">
              <a:extLst>
                <a:ext uri="{FF2B5EF4-FFF2-40B4-BE49-F238E27FC236}">
                  <a16:creationId xmlns:a16="http://schemas.microsoft.com/office/drawing/2014/main" id="{8E0BA935-B5D2-415A-A50A-0BF988265DB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3">
          <xdr14:nvContentPartPr>
            <xdr14:cNvPr id="28" name="Entrada de lápiz 27">
              <a:extLst>
                <a:ext uri="{FF2B5EF4-FFF2-40B4-BE49-F238E27FC236}">
                  <a16:creationId xmlns:a16="http://schemas.microsoft.com/office/drawing/2014/main" id="{4D20A308-D0F1-47AC-BA7D-B83A159F62C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4">
          <xdr14:nvContentPartPr>
            <xdr14:cNvPr id="29" name="Entrada de lápiz 28">
              <a:extLst>
                <a:ext uri="{FF2B5EF4-FFF2-40B4-BE49-F238E27FC236}">
                  <a16:creationId xmlns:a16="http://schemas.microsoft.com/office/drawing/2014/main" id="{2073F861-D486-42E1-967F-E0ACC9412D7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5">
          <xdr14:nvContentPartPr>
            <xdr14:cNvPr id="30" name="Entrada de lápiz 29">
              <a:extLst>
                <a:ext uri="{FF2B5EF4-FFF2-40B4-BE49-F238E27FC236}">
                  <a16:creationId xmlns:a16="http://schemas.microsoft.com/office/drawing/2014/main" id="{FE2816E7-FC0A-411B-9106-35A801C0094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6">
          <xdr14:nvContentPartPr>
            <xdr14:cNvPr id="31" name="Entrada de lápiz 30">
              <a:extLst>
                <a:ext uri="{FF2B5EF4-FFF2-40B4-BE49-F238E27FC236}">
                  <a16:creationId xmlns:a16="http://schemas.microsoft.com/office/drawing/2014/main" id="{A334DA0D-B771-4D05-81F8-7F7694D2307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7">
          <xdr14:nvContentPartPr>
            <xdr14:cNvPr id="32" name="Entrada de lápiz 31">
              <a:extLst>
                <a:ext uri="{FF2B5EF4-FFF2-40B4-BE49-F238E27FC236}">
                  <a16:creationId xmlns:a16="http://schemas.microsoft.com/office/drawing/2014/main" id="{69E139CA-01B0-4265-BF0D-B224775EA83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8">
          <xdr14:nvContentPartPr>
            <xdr14:cNvPr id="33" name="Entrada de lápiz 32">
              <a:extLst>
                <a:ext uri="{FF2B5EF4-FFF2-40B4-BE49-F238E27FC236}">
                  <a16:creationId xmlns:a16="http://schemas.microsoft.com/office/drawing/2014/main" id="{43C7DD8A-A3A8-40BB-8F63-F6A110CB275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9">
          <xdr14:nvContentPartPr>
            <xdr14:cNvPr id="34" name="Entrada de lápiz 33">
              <a:extLst>
                <a:ext uri="{FF2B5EF4-FFF2-40B4-BE49-F238E27FC236}">
                  <a16:creationId xmlns:a16="http://schemas.microsoft.com/office/drawing/2014/main" id="{B592D3BB-7A28-4159-8CC4-7EA69E7902E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0">
          <xdr14:nvContentPartPr>
            <xdr14:cNvPr id="35" name="Entrada de lápiz 34">
              <a:extLst>
                <a:ext uri="{FF2B5EF4-FFF2-40B4-BE49-F238E27FC236}">
                  <a16:creationId xmlns:a16="http://schemas.microsoft.com/office/drawing/2014/main" id="{62CFFF00-3E87-4B99-98F9-C85072C56D0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1">
          <xdr14:nvContentPartPr>
            <xdr14:cNvPr id="36" name="Entrada de lápiz 35">
              <a:extLst>
                <a:ext uri="{FF2B5EF4-FFF2-40B4-BE49-F238E27FC236}">
                  <a16:creationId xmlns:a16="http://schemas.microsoft.com/office/drawing/2014/main" id="{E6DD93AF-1153-4D74-B6C1-CF7AC400C73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2">
          <xdr14:nvContentPartPr>
            <xdr14:cNvPr id="37" name="Entrada de lápiz 36">
              <a:extLst>
                <a:ext uri="{FF2B5EF4-FFF2-40B4-BE49-F238E27FC236}">
                  <a16:creationId xmlns:a16="http://schemas.microsoft.com/office/drawing/2014/main" id="{6B9F5201-58E3-4AB1-9113-CF799EEC5B4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3">
          <xdr14:nvContentPartPr>
            <xdr14:cNvPr id="38" name="Entrada de lápiz 37">
              <a:extLst>
                <a:ext uri="{FF2B5EF4-FFF2-40B4-BE49-F238E27FC236}">
                  <a16:creationId xmlns:a16="http://schemas.microsoft.com/office/drawing/2014/main" id="{F8EF624B-1521-4F04-824A-D7EC4F8BC45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4">
          <xdr14:nvContentPartPr>
            <xdr14:cNvPr id="39" name="Entrada de lápiz 38">
              <a:extLst>
                <a:ext uri="{FF2B5EF4-FFF2-40B4-BE49-F238E27FC236}">
                  <a16:creationId xmlns:a16="http://schemas.microsoft.com/office/drawing/2014/main" id="{8D612BEF-6FB2-4631-B220-D961F8B879C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5">
          <xdr14:nvContentPartPr>
            <xdr14:cNvPr id="40" name="Entrada de lápiz 39">
              <a:extLst>
                <a:ext uri="{FF2B5EF4-FFF2-40B4-BE49-F238E27FC236}">
                  <a16:creationId xmlns:a16="http://schemas.microsoft.com/office/drawing/2014/main" id="{B504A24D-18A1-4553-8FE2-1B0B1B516D0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6">
          <xdr14:nvContentPartPr>
            <xdr14:cNvPr id="41" name="Entrada de lápiz 40">
              <a:extLst>
                <a:ext uri="{FF2B5EF4-FFF2-40B4-BE49-F238E27FC236}">
                  <a16:creationId xmlns:a16="http://schemas.microsoft.com/office/drawing/2014/main" id="{8C997576-8921-4ED9-8916-B3C4F13A620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7">
          <xdr14:nvContentPartPr>
            <xdr14:cNvPr id="42" name="Entrada de lápiz 41">
              <a:extLst>
                <a:ext uri="{FF2B5EF4-FFF2-40B4-BE49-F238E27FC236}">
                  <a16:creationId xmlns:a16="http://schemas.microsoft.com/office/drawing/2014/main" id="{4620453C-CE54-439F-A3D2-E4FFED37562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8">
          <xdr14:nvContentPartPr>
            <xdr14:cNvPr id="43" name="Entrada de lápiz 42">
              <a:extLst>
                <a:ext uri="{FF2B5EF4-FFF2-40B4-BE49-F238E27FC236}">
                  <a16:creationId xmlns:a16="http://schemas.microsoft.com/office/drawing/2014/main" id="{297E7CED-610A-49BC-B7B8-838C2CA483D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9">
          <xdr14:nvContentPartPr>
            <xdr14:cNvPr id="44" name="Entrada de lápiz 43">
              <a:extLst>
                <a:ext uri="{FF2B5EF4-FFF2-40B4-BE49-F238E27FC236}">
                  <a16:creationId xmlns:a16="http://schemas.microsoft.com/office/drawing/2014/main" id="{B8CA1273-0315-4DEF-A065-32C4145D4FE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0">
          <xdr14:nvContentPartPr>
            <xdr14:cNvPr id="45" name="Entrada de lápiz 44">
              <a:extLst>
                <a:ext uri="{FF2B5EF4-FFF2-40B4-BE49-F238E27FC236}">
                  <a16:creationId xmlns:a16="http://schemas.microsoft.com/office/drawing/2014/main" id="{7835D5EB-B894-40C1-A8CB-551703D3B9E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1">
          <xdr14:nvContentPartPr>
            <xdr14:cNvPr id="46" name="Entrada de lápiz 45">
              <a:extLst>
                <a:ext uri="{FF2B5EF4-FFF2-40B4-BE49-F238E27FC236}">
                  <a16:creationId xmlns:a16="http://schemas.microsoft.com/office/drawing/2014/main" id="{041F8175-F304-453B-B3D4-2EC461E2C46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2">
          <xdr14:nvContentPartPr>
            <xdr14:cNvPr id="47" name="Entrada de lápiz 46">
              <a:extLst>
                <a:ext uri="{FF2B5EF4-FFF2-40B4-BE49-F238E27FC236}">
                  <a16:creationId xmlns:a16="http://schemas.microsoft.com/office/drawing/2014/main" id="{EFE2BD03-F09E-4B0D-AA69-094F256701F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3">
          <xdr14:nvContentPartPr>
            <xdr14:cNvPr id="48" name="Entrada de lápiz 47">
              <a:extLst>
                <a:ext uri="{FF2B5EF4-FFF2-40B4-BE49-F238E27FC236}">
                  <a16:creationId xmlns:a16="http://schemas.microsoft.com/office/drawing/2014/main" id="{26B57BBF-2033-4002-AA08-35235939C82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4">
          <xdr14:nvContentPartPr>
            <xdr14:cNvPr id="49" name="Entrada de lápiz 48">
              <a:extLst>
                <a:ext uri="{FF2B5EF4-FFF2-40B4-BE49-F238E27FC236}">
                  <a16:creationId xmlns:a16="http://schemas.microsoft.com/office/drawing/2014/main" id="{3816E73B-4501-4250-928C-D47CDAB516B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5">
          <xdr14:nvContentPartPr>
            <xdr14:cNvPr id="50" name="Entrada de lápiz 49">
              <a:extLst>
                <a:ext uri="{FF2B5EF4-FFF2-40B4-BE49-F238E27FC236}">
                  <a16:creationId xmlns:a16="http://schemas.microsoft.com/office/drawing/2014/main" id="{2D177099-57CC-4093-BA2C-BD9109F295E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6">
          <xdr14:nvContentPartPr>
            <xdr14:cNvPr id="51" name="Entrada de lápiz 50">
              <a:extLst>
                <a:ext uri="{FF2B5EF4-FFF2-40B4-BE49-F238E27FC236}">
                  <a16:creationId xmlns:a16="http://schemas.microsoft.com/office/drawing/2014/main" id="{F8ABDDD2-78E1-4946-A1EF-3EF750AD19A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7">
          <xdr14:nvContentPartPr>
            <xdr14:cNvPr id="52" name="Entrada de lápiz 51">
              <a:extLst>
                <a:ext uri="{FF2B5EF4-FFF2-40B4-BE49-F238E27FC236}">
                  <a16:creationId xmlns:a16="http://schemas.microsoft.com/office/drawing/2014/main" id="{B5220BF8-2339-4F7C-82AA-6121F2446B9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8">
          <xdr14:nvContentPartPr>
            <xdr14:cNvPr id="53" name="Entrada de lápiz 52">
              <a:extLst>
                <a:ext uri="{FF2B5EF4-FFF2-40B4-BE49-F238E27FC236}">
                  <a16:creationId xmlns:a16="http://schemas.microsoft.com/office/drawing/2014/main" id="{C76D6C9E-1184-4FDF-B290-04D41FE8AFA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9">
          <xdr14:nvContentPartPr>
            <xdr14:cNvPr id="59" name="Entrada de lápiz 58">
              <a:extLst>
                <a:ext uri="{FF2B5EF4-FFF2-40B4-BE49-F238E27FC236}">
                  <a16:creationId xmlns:a16="http://schemas.microsoft.com/office/drawing/2014/main" id="{528463D7-D7DE-491B-AFFA-C558ED4C1DC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0">
          <xdr14:nvContentPartPr>
            <xdr14:cNvPr id="60" name="Entrada de lápiz 59">
              <a:extLst>
                <a:ext uri="{FF2B5EF4-FFF2-40B4-BE49-F238E27FC236}">
                  <a16:creationId xmlns:a16="http://schemas.microsoft.com/office/drawing/2014/main" id="{BBEB4177-5BC6-4BE1-9908-C2F40522882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1">
          <xdr14:nvContentPartPr>
            <xdr14:cNvPr id="61" name="Entrada de lápiz 60">
              <a:extLst>
                <a:ext uri="{FF2B5EF4-FFF2-40B4-BE49-F238E27FC236}">
                  <a16:creationId xmlns:a16="http://schemas.microsoft.com/office/drawing/2014/main" id="{CD8F9D3E-EA20-4A04-8A86-787546CE738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2">
          <xdr14:nvContentPartPr>
            <xdr14:cNvPr id="62" name="Entrada de lápiz 61">
              <a:extLst>
                <a:ext uri="{FF2B5EF4-FFF2-40B4-BE49-F238E27FC236}">
                  <a16:creationId xmlns:a16="http://schemas.microsoft.com/office/drawing/2014/main" id="{35095F6E-67E3-4AF1-B3D4-86F2E0DE103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3">
          <xdr14:nvContentPartPr>
            <xdr14:cNvPr id="63" name="Entrada de lápiz 62">
              <a:extLst>
                <a:ext uri="{FF2B5EF4-FFF2-40B4-BE49-F238E27FC236}">
                  <a16:creationId xmlns:a16="http://schemas.microsoft.com/office/drawing/2014/main" id="{D5BF7D0B-AE71-4044-9D5D-297F8D95DD6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4">
          <xdr14:nvContentPartPr>
            <xdr14:cNvPr id="64" name="Entrada de lápiz 63">
              <a:extLst>
                <a:ext uri="{FF2B5EF4-FFF2-40B4-BE49-F238E27FC236}">
                  <a16:creationId xmlns:a16="http://schemas.microsoft.com/office/drawing/2014/main" id="{7E1DEFE5-1A74-48C5-8DA9-DFFE369DC43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5">
          <xdr14:nvContentPartPr>
            <xdr14:cNvPr id="65" name="Entrada de lápiz 64">
              <a:extLst>
                <a:ext uri="{FF2B5EF4-FFF2-40B4-BE49-F238E27FC236}">
                  <a16:creationId xmlns:a16="http://schemas.microsoft.com/office/drawing/2014/main" id="{FE655B5A-554D-4DA0-8CEE-ECCE2B9A39C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6">
          <xdr14:nvContentPartPr>
            <xdr14:cNvPr id="66" name="Entrada de lápiz 65">
              <a:extLst>
                <a:ext uri="{FF2B5EF4-FFF2-40B4-BE49-F238E27FC236}">
                  <a16:creationId xmlns:a16="http://schemas.microsoft.com/office/drawing/2014/main" id="{7EDA0437-8363-468E-83A4-90BDA0D20C6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7">
          <xdr14:nvContentPartPr>
            <xdr14:cNvPr id="67" name="Entrada de lápiz 66">
              <a:extLst>
                <a:ext uri="{FF2B5EF4-FFF2-40B4-BE49-F238E27FC236}">
                  <a16:creationId xmlns:a16="http://schemas.microsoft.com/office/drawing/2014/main" id="{F13519F2-1873-48F4-98F3-89DDC7CAC8B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8">
          <xdr14:nvContentPartPr>
            <xdr14:cNvPr id="68" name="Entrada de lápiz 67">
              <a:extLst>
                <a:ext uri="{FF2B5EF4-FFF2-40B4-BE49-F238E27FC236}">
                  <a16:creationId xmlns:a16="http://schemas.microsoft.com/office/drawing/2014/main" id="{3630BDEC-1169-459B-88D2-214BC117FED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9">
          <xdr14:nvContentPartPr>
            <xdr14:cNvPr id="69" name="Entrada de lápiz 68">
              <a:extLst>
                <a:ext uri="{FF2B5EF4-FFF2-40B4-BE49-F238E27FC236}">
                  <a16:creationId xmlns:a16="http://schemas.microsoft.com/office/drawing/2014/main" id="{835905C5-7EB9-432E-AC34-C6DC7B60604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0">
          <xdr14:nvContentPartPr>
            <xdr14:cNvPr id="70" name="Entrada de lápiz 69">
              <a:extLst>
                <a:ext uri="{FF2B5EF4-FFF2-40B4-BE49-F238E27FC236}">
                  <a16:creationId xmlns:a16="http://schemas.microsoft.com/office/drawing/2014/main" id="{10FD5883-CB06-4D76-AD3E-F74A5376E7F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1">
          <xdr14:nvContentPartPr>
            <xdr14:cNvPr id="71" name="Entrada de lápiz 70">
              <a:extLst>
                <a:ext uri="{FF2B5EF4-FFF2-40B4-BE49-F238E27FC236}">
                  <a16:creationId xmlns:a16="http://schemas.microsoft.com/office/drawing/2014/main" id="{FDE71566-0BBC-4435-BFC5-3F437DFB57E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2">
          <xdr14:nvContentPartPr>
            <xdr14:cNvPr id="72" name="Entrada de lápiz 71">
              <a:extLst>
                <a:ext uri="{FF2B5EF4-FFF2-40B4-BE49-F238E27FC236}">
                  <a16:creationId xmlns:a16="http://schemas.microsoft.com/office/drawing/2014/main" id="{E8C2476A-3F61-4515-9D5B-0D88225F44A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3">
          <xdr14:nvContentPartPr>
            <xdr14:cNvPr id="73" name="Entrada de lápiz 72">
              <a:extLst>
                <a:ext uri="{FF2B5EF4-FFF2-40B4-BE49-F238E27FC236}">
                  <a16:creationId xmlns:a16="http://schemas.microsoft.com/office/drawing/2014/main" id="{D0F4A88F-EFFE-43F0-B22D-2B4592A1E67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4">
          <xdr14:nvContentPartPr>
            <xdr14:cNvPr id="74" name="Entrada de lápiz 73">
              <a:extLst>
                <a:ext uri="{FF2B5EF4-FFF2-40B4-BE49-F238E27FC236}">
                  <a16:creationId xmlns:a16="http://schemas.microsoft.com/office/drawing/2014/main" id="{1007F9BE-4EA9-4158-93AA-94B42831499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5">
          <xdr14:nvContentPartPr>
            <xdr14:cNvPr id="75" name="Entrada de lápiz 74">
              <a:extLst>
                <a:ext uri="{FF2B5EF4-FFF2-40B4-BE49-F238E27FC236}">
                  <a16:creationId xmlns:a16="http://schemas.microsoft.com/office/drawing/2014/main" id="{5497130C-27B1-468A-A053-8E2C3E36592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6">
          <xdr14:nvContentPartPr>
            <xdr14:cNvPr id="76" name="Entrada de lápiz 75">
              <a:extLst>
                <a:ext uri="{FF2B5EF4-FFF2-40B4-BE49-F238E27FC236}">
                  <a16:creationId xmlns:a16="http://schemas.microsoft.com/office/drawing/2014/main" id="{2EB14899-913C-44B8-AA58-D72F75BA699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7">
          <xdr14:nvContentPartPr>
            <xdr14:cNvPr id="77" name="Entrada de lápiz 76">
              <a:extLst>
                <a:ext uri="{FF2B5EF4-FFF2-40B4-BE49-F238E27FC236}">
                  <a16:creationId xmlns:a16="http://schemas.microsoft.com/office/drawing/2014/main" id="{666EBEEE-0263-4C26-80E8-1315AB7A543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8">
          <xdr14:nvContentPartPr>
            <xdr14:cNvPr id="78" name="Entrada de lápiz 77">
              <a:extLst>
                <a:ext uri="{FF2B5EF4-FFF2-40B4-BE49-F238E27FC236}">
                  <a16:creationId xmlns:a16="http://schemas.microsoft.com/office/drawing/2014/main" id="{7FFCEB0D-C670-40D6-80AD-2BD6102ED23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9">
          <xdr14:nvContentPartPr>
            <xdr14:cNvPr id="79" name="Entrada de lápiz 78">
              <a:extLst>
                <a:ext uri="{FF2B5EF4-FFF2-40B4-BE49-F238E27FC236}">
                  <a16:creationId xmlns:a16="http://schemas.microsoft.com/office/drawing/2014/main" id="{B22B8CE9-5219-4C7A-B5BB-047DA5E331A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0">
          <xdr14:nvContentPartPr>
            <xdr14:cNvPr id="80" name="Entrada de lápiz 79">
              <a:extLst>
                <a:ext uri="{FF2B5EF4-FFF2-40B4-BE49-F238E27FC236}">
                  <a16:creationId xmlns:a16="http://schemas.microsoft.com/office/drawing/2014/main" id="{72F1EED1-3C78-41CC-B341-73D57164F62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1">
          <xdr14:nvContentPartPr>
            <xdr14:cNvPr id="81" name="Entrada de lápiz 80">
              <a:extLst>
                <a:ext uri="{FF2B5EF4-FFF2-40B4-BE49-F238E27FC236}">
                  <a16:creationId xmlns:a16="http://schemas.microsoft.com/office/drawing/2014/main" id="{18C53708-4931-4222-8104-FCD3DFA7D5B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2">
          <xdr14:nvContentPartPr>
            <xdr14:cNvPr id="82" name="Entrada de lápiz 81">
              <a:extLst>
                <a:ext uri="{FF2B5EF4-FFF2-40B4-BE49-F238E27FC236}">
                  <a16:creationId xmlns:a16="http://schemas.microsoft.com/office/drawing/2014/main" id="{4FD7536D-002F-4CD1-81BF-82FD4D68FDA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3">
          <xdr14:nvContentPartPr>
            <xdr14:cNvPr id="83" name="Entrada de lápiz 82">
              <a:extLst>
                <a:ext uri="{FF2B5EF4-FFF2-40B4-BE49-F238E27FC236}">
                  <a16:creationId xmlns:a16="http://schemas.microsoft.com/office/drawing/2014/main" id="{444B4A07-D3D5-43FC-B3F4-B6CC44126C5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4">
          <xdr14:nvContentPartPr>
            <xdr14:cNvPr id="84" name="Entrada de lápiz 83">
              <a:extLst>
                <a:ext uri="{FF2B5EF4-FFF2-40B4-BE49-F238E27FC236}">
                  <a16:creationId xmlns:a16="http://schemas.microsoft.com/office/drawing/2014/main" id="{31D099A5-C5C9-4C5E-A2D5-8D80403F0F8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5">
          <xdr14:nvContentPartPr>
            <xdr14:cNvPr id="85" name="Entrada de lápiz 84">
              <a:extLst>
                <a:ext uri="{FF2B5EF4-FFF2-40B4-BE49-F238E27FC236}">
                  <a16:creationId xmlns:a16="http://schemas.microsoft.com/office/drawing/2014/main" id="{36F98496-7E00-422B-A197-6B995B40C03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6">
          <xdr14:nvContentPartPr>
            <xdr14:cNvPr id="86" name="Entrada de lápiz 85">
              <a:extLst>
                <a:ext uri="{FF2B5EF4-FFF2-40B4-BE49-F238E27FC236}">
                  <a16:creationId xmlns:a16="http://schemas.microsoft.com/office/drawing/2014/main" id="{A8137A80-05BB-44D4-801F-2AB155327AB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7">
          <xdr14:nvContentPartPr>
            <xdr14:cNvPr id="87" name="Entrada de lápiz 86">
              <a:extLst>
                <a:ext uri="{FF2B5EF4-FFF2-40B4-BE49-F238E27FC236}">
                  <a16:creationId xmlns:a16="http://schemas.microsoft.com/office/drawing/2014/main" id="{30CB1FD7-EDA9-42A8-9E21-C2E197A99E8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8">
          <xdr14:nvContentPartPr>
            <xdr14:cNvPr id="54" name="Entrada de lápiz 53">
              <a:extLst>
                <a:ext uri="{FF2B5EF4-FFF2-40B4-BE49-F238E27FC236}">
                  <a16:creationId xmlns:a16="http://schemas.microsoft.com/office/drawing/2014/main" id="{9575B79A-4943-4B10-9259-89EC0C1DDFD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9">
          <xdr14:nvContentPartPr>
            <xdr14:cNvPr id="55" name="Entrada de lápiz 54">
              <a:extLst>
                <a:ext uri="{FF2B5EF4-FFF2-40B4-BE49-F238E27FC236}">
                  <a16:creationId xmlns:a16="http://schemas.microsoft.com/office/drawing/2014/main" id="{50FE5B6B-D5A4-4726-9477-0E510AF2E7C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0">
          <xdr14:nvContentPartPr>
            <xdr14:cNvPr id="56" name="Entrada de lápiz 55">
              <a:extLst>
                <a:ext uri="{FF2B5EF4-FFF2-40B4-BE49-F238E27FC236}">
                  <a16:creationId xmlns:a16="http://schemas.microsoft.com/office/drawing/2014/main" id="{A44C3860-22EB-47D5-804D-3ADAA75A201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1">
          <xdr14:nvContentPartPr>
            <xdr14:cNvPr id="57" name="Entrada de lápiz 56">
              <a:extLst>
                <a:ext uri="{FF2B5EF4-FFF2-40B4-BE49-F238E27FC236}">
                  <a16:creationId xmlns:a16="http://schemas.microsoft.com/office/drawing/2014/main" id="{48446D25-9710-4566-B366-1D3E864B90E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2">
          <xdr14:nvContentPartPr>
            <xdr14:cNvPr id="58" name="Entrada de lápiz 57">
              <a:extLst>
                <a:ext uri="{FF2B5EF4-FFF2-40B4-BE49-F238E27FC236}">
                  <a16:creationId xmlns:a16="http://schemas.microsoft.com/office/drawing/2014/main" id="{D51E1057-5279-4712-9AB8-4029EE43E8C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3">
          <xdr14:nvContentPartPr>
            <xdr14:cNvPr id="88" name="Entrada de lápiz 87">
              <a:extLst>
                <a:ext uri="{FF2B5EF4-FFF2-40B4-BE49-F238E27FC236}">
                  <a16:creationId xmlns:a16="http://schemas.microsoft.com/office/drawing/2014/main" id="{91487C67-C0B3-44A8-AE9D-F62BD4395AA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4">
          <xdr14:nvContentPartPr>
            <xdr14:cNvPr id="89" name="Entrada de lápiz 88">
              <a:extLst>
                <a:ext uri="{FF2B5EF4-FFF2-40B4-BE49-F238E27FC236}">
                  <a16:creationId xmlns:a16="http://schemas.microsoft.com/office/drawing/2014/main" id="{81639C94-691D-471B-BC50-CBBB82B1AE0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5">
          <xdr14:nvContentPartPr>
            <xdr14:cNvPr id="90" name="Entrada de lápiz 89">
              <a:extLst>
                <a:ext uri="{FF2B5EF4-FFF2-40B4-BE49-F238E27FC236}">
                  <a16:creationId xmlns:a16="http://schemas.microsoft.com/office/drawing/2014/main" id="{320E6156-3E42-47D9-8D7F-655A8D33BC2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6">
          <xdr14:nvContentPartPr>
            <xdr14:cNvPr id="91" name="Entrada de lápiz 90">
              <a:extLst>
                <a:ext uri="{FF2B5EF4-FFF2-40B4-BE49-F238E27FC236}">
                  <a16:creationId xmlns:a16="http://schemas.microsoft.com/office/drawing/2014/main" id="{EA73FBE9-5514-4F54-88A7-E7009398E28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7">
          <xdr14:nvContentPartPr>
            <xdr14:cNvPr id="92" name="Entrada de lápiz 91">
              <a:extLst>
                <a:ext uri="{FF2B5EF4-FFF2-40B4-BE49-F238E27FC236}">
                  <a16:creationId xmlns:a16="http://schemas.microsoft.com/office/drawing/2014/main" id="{22CC9ED1-1BAF-4B93-8F0E-2C11C25DBE8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8">
          <xdr14:nvContentPartPr>
            <xdr14:cNvPr id="93" name="Entrada de lápiz 92">
              <a:extLst>
                <a:ext uri="{FF2B5EF4-FFF2-40B4-BE49-F238E27FC236}">
                  <a16:creationId xmlns:a16="http://schemas.microsoft.com/office/drawing/2014/main" id="{B7B98BE5-B046-4464-BAF9-E0DA24CEC73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9">
          <xdr14:nvContentPartPr>
            <xdr14:cNvPr id="94" name="Entrada de lápiz 93">
              <a:extLst>
                <a:ext uri="{FF2B5EF4-FFF2-40B4-BE49-F238E27FC236}">
                  <a16:creationId xmlns:a16="http://schemas.microsoft.com/office/drawing/2014/main" id="{5166EB6A-1215-4838-BCEA-64A7355A925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0">
          <xdr14:nvContentPartPr>
            <xdr14:cNvPr id="95" name="Entrada de lápiz 94">
              <a:extLst>
                <a:ext uri="{FF2B5EF4-FFF2-40B4-BE49-F238E27FC236}">
                  <a16:creationId xmlns:a16="http://schemas.microsoft.com/office/drawing/2014/main" id="{6680BD23-E2AF-45AE-9676-7FE8FD561D3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1">
          <xdr14:nvContentPartPr>
            <xdr14:cNvPr id="96" name="Entrada de lápiz 95">
              <a:extLst>
                <a:ext uri="{FF2B5EF4-FFF2-40B4-BE49-F238E27FC236}">
                  <a16:creationId xmlns:a16="http://schemas.microsoft.com/office/drawing/2014/main" id="{DBE91729-984F-407F-93E2-B2AB2308BE4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2">
          <xdr14:nvContentPartPr>
            <xdr14:cNvPr id="97" name="Entrada de lápiz 96">
              <a:extLst>
                <a:ext uri="{FF2B5EF4-FFF2-40B4-BE49-F238E27FC236}">
                  <a16:creationId xmlns:a16="http://schemas.microsoft.com/office/drawing/2014/main" id="{4C7535D7-EE2A-4DB0-957B-F2CBEC6FE43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3">
          <xdr14:nvContentPartPr>
            <xdr14:cNvPr id="98" name="Entrada de lápiz 97">
              <a:extLst>
                <a:ext uri="{FF2B5EF4-FFF2-40B4-BE49-F238E27FC236}">
                  <a16:creationId xmlns:a16="http://schemas.microsoft.com/office/drawing/2014/main" id="{CE9B644D-640D-4041-912C-611A59A8E43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4">
          <xdr14:nvContentPartPr>
            <xdr14:cNvPr id="99" name="Entrada de lápiz 98">
              <a:extLst>
                <a:ext uri="{FF2B5EF4-FFF2-40B4-BE49-F238E27FC236}">
                  <a16:creationId xmlns:a16="http://schemas.microsoft.com/office/drawing/2014/main" id="{AEA5015E-31CA-4C6D-B200-624A097362F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5">
          <xdr14:nvContentPartPr>
            <xdr14:cNvPr id="100" name="Entrada de lápiz 99">
              <a:extLst>
                <a:ext uri="{FF2B5EF4-FFF2-40B4-BE49-F238E27FC236}">
                  <a16:creationId xmlns:a16="http://schemas.microsoft.com/office/drawing/2014/main" id="{78148BD6-BB1E-4D2A-80A1-7AD24CE6006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6">
          <xdr14:nvContentPartPr>
            <xdr14:cNvPr id="101" name="Entrada de lápiz 100">
              <a:extLst>
                <a:ext uri="{FF2B5EF4-FFF2-40B4-BE49-F238E27FC236}">
                  <a16:creationId xmlns:a16="http://schemas.microsoft.com/office/drawing/2014/main" id="{79265BFB-A379-484D-B04E-DD3F7AF387D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7">
          <xdr14:nvContentPartPr>
            <xdr14:cNvPr id="102" name="Entrada de lápiz 101">
              <a:extLst>
                <a:ext uri="{FF2B5EF4-FFF2-40B4-BE49-F238E27FC236}">
                  <a16:creationId xmlns:a16="http://schemas.microsoft.com/office/drawing/2014/main" id="{FB86D4D6-73D0-4C5C-B5A0-6C6CECB1163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8">
          <xdr14:nvContentPartPr>
            <xdr14:cNvPr id="103" name="Entrada de lápiz 102">
              <a:extLst>
                <a:ext uri="{FF2B5EF4-FFF2-40B4-BE49-F238E27FC236}">
                  <a16:creationId xmlns:a16="http://schemas.microsoft.com/office/drawing/2014/main" id="{249812F8-EEB0-42AF-BE8C-8F932CB3184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9">
          <xdr14:nvContentPartPr>
            <xdr14:cNvPr id="104" name="Entrada de lápiz 103">
              <a:extLst>
                <a:ext uri="{FF2B5EF4-FFF2-40B4-BE49-F238E27FC236}">
                  <a16:creationId xmlns:a16="http://schemas.microsoft.com/office/drawing/2014/main" id="{7AD4165A-A920-4843-86E4-5AA267F3A0B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0">
          <xdr14:nvContentPartPr>
            <xdr14:cNvPr id="105" name="Entrada de lápiz 104">
              <a:extLst>
                <a:ext uri="{FF2B5EF4-FFF2-40B4-BE49-F238E27FC236}">
                  <a16:creationId xmlns:a16="http://schemas.microsoft.com/office/drawing/2014/main" id="{3FC8E984-9AAA-476D-B012-3D67DB0E643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1">
          <xdr14:nvContentPartPr>
            <xdr14:cNvPr id="106" name="Entrada de lápiz 105">
              <a:extLst>
                <a:ext uri="{FF2B5EF4-FFF2-40B4-BE49-F238E27FC236}">
                  <a16:creationId xmlns:a16="http://schemas.microsoft.com/office/drawing/2014/main" id="{5AF09637-78E6-4AAF-AB55-AC849BC7E5E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2">
          <xdr14:nvContentPartPr>
            <xdr14:cNvPr id="107" name="Entrada de lápiz 106">
              <a:extLst>
                <a:ext uri="{FF2B5EF4-FFF2-40B4-BE49-F238E27FC236}">
                  <a16:creationId xmlns:a16="http://schemas.microsoft.com/office/drawing/2014/main" id="{00BDE7DB-8007-4885-B7FD-E1E939B6371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3">
          <xdr14:nvContentPartPr>
            <xdr14:cNvPr id="108" name="Entrada de lápiz 107">
              <a:extLst>
                <a:ext uri="{FF2B5EF4-FFF2-40B4-BE49-F238E27FC236}">
                  <a16:creationId xmlns:a16="http://schemas.microsoft.com/office/drawing/2014/main" id="{5ED9C07F-EEFA-42FA-AAAC-066CE319577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4">
          <xdr14:nvContentPartPr>
            <xdr14:cNvPr id="109" name="Entrada de lápiz 108">
              <a:extLst>
                <a:ext uri="{FF2B5EF4-FFF2-40B4-BE49-F238E27FC236}">
                  <a16:creationId xmlns:a16="http://schemas.microsoft.com/office/drawing/2014/main" id="{B9CB155C-0914-4E8E-9F97-52E02517F31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5">
          <xdr14:nvContentPartPr>
            <xdr14:cNvPr id="110" name="Entrada de lápiz 109">
              <a:extLst>
                <a:ext uri="{FF2B5EF4-FFF2-40B4-BE49-F238E27FC236}">
                  <a16:creationId xmlns:a16="http://schemas.microsoft.com/office/drawing/2014/main" id="{5B90EB13-308D-4C93-8FFE-F92281D1C8A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6">
          <xdr14:nvContentPartPr>
            <xdr14:cNvPr id="111" name="Entrada de lápiz 110">
              <a:extLst>
                <a:ext uri="{FF2B5EF4-FFF2-40B4-BE49-F238E27FC236}">
                  <a16:creationId xmlns:a16="http://schemas.microsoft.com/office/drawing/2014/main" id="{F3C98BE8-5782-4BFA-8F8A-E108B112AB4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7">
          <xdr14:nvContentPartPr>
            <xdr14:cNvPr id="112" name="Entrada de lápiz 111">
              <a:extLst>
                <a:ext uri="{FF2B5EF4-FFF2-40B4-BE49-F238E27FC236}">
                  <a16:creationId xmlns:a16="http://schemas.microsoft.com/office/drawing/2014/main" id="{35C5653B-68E4-474D-800E-6319D08EABC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8">
          <xdr14:nvContentPartPr>
            <xdr14:cNvPr id="113" name="Entrada de lápiz 112">
              <a:extLst>
                <a:ext uri="{FF2B5EF4-FFF2-40B4-BE49-F238E27FC236}">
                  <a16:creationId xmlns:a16="http://schemas.microsoft.com/office/drawing/2014/main" id="{ACE1EBB4-A668-4276-B82C-7BCC42AF0A3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9">
          <xdr14:nvContentPartPr>
            <xdr14:cNvPr id="114" name="Entrada de lápiz 113">
              <a:extLst>
                <a:ext uri="{FF2B5EF4-FFF2-40B4-BE49-F238E27FC236}">
                  <a16:creationId xmlns:a16="http://schemas.microsoft.com/office/drawing/2014/main" id="{98904DFB-8AB9-4766-B559-A9D2712A4DD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0">
          <xdr14:nvContentPartPr>
            <xdr14:cNvPr id="115" name="Entrada de lápiz 114">
              <a:extLst>
                <a:ext uri="{FF2B5EF4-FFF2-40B4-BE49-F238E27FC236}">
                  <a16:creationId xmlns:a16="http://schemas.microsoft.com/office/drawing/2014/main" id="{412320AD-1FE1-4911-8E02-5BC8958382A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1">
          <xdr14:nvContentPartPr>
            <xdr14:cNvPr id="116" name="Entrada de lápiz 115">
              <a:extLst>
                <a:ext uri="{FF2B5EF4-FFF2-40B4-BE49-F238E27FC236}">
                  <a16:creationId xmlns:a16="http://schemas.microsoft.com/office/drawing/2014/main" id="{BA26FD25-482A-4213-81E4-C74208B40FA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2">
          <xdr14:nvContentPartPr>
            <xdr14:cNvPr id="117" name="Entrada de lápiz 116">
              <a:extLst>
                <a:ext uri="{FF2B5EF4-FFF2-40B4-BE49-F238E27FC236}">
                  <a16:creationId xmlns:a16="http://schemas.microsoft.com/office/drawing/2014/main" id="{7BB602BA-4BD5-4C47-94DE-D43DD98F701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3">
          <xdr14:nvContentPartPr>
            <xdr14:cNvPr id="118" name="Entrada de lápiz 117">
              <a:extLst>
                <a:ext uri="{FF2B5EF4-FFF2-40B4-BE49-F238E27FC236}">
                  <a16:creationId xmlns:a16="http://schemas.microsoft.com/office/drawing/2014/main" id="{CDBC5601-AC64-4CFE-9129-7D406146E86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4">
          <xdr14:nvContentPartPr>
            <xdr14:cNvPr id="119" name="Entrada de lápiz 118">
              <a:extLst>
                <a:ext uri="{FF2B5EF4-FFF2-40B4-BE49-F238E27FC236}">
                  <a16:creationId xmlns:a16="http://schemas.microsoft.com/office/drawing/2014/main" id="{2B0E222B-05AE-4EC6-950E-7459BDD6F07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5">
          <xdr14:nvContentPartPr>
            <xdr14:cNvPr id="120" name="Entrada de lápiz 119">
              <a:extLst>
                <a:ext uri="{FF2B5EF4-FFF2-40B4-BE49-F238E27FC236}">
                  <a16:creationId xmlns:a16="http://schemas.microsoft.com/office/drawing/2014/main" id="{E8BC10A2-20BE-4969-9691-B93E9904E11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6">
          <xdr14:nvContentPartPr>
            <xdr14:cNvPr id="121" name="Entrada de lápiz 120">
              <a:extLst>
                <a:ext uri="{FF2B5EF4-FFF2-40B4-BE49-F238E27FC236}">
                  <a16:creationId xmlns:a16="http://schemas.microsoft.com/office/drawing/2014/main" id="{74059703-39B5-4EFF-8254-1C481E97187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7">
          <xdr14:nvContentPartPr>
            <xdr14:cNvPr id="122" name="Entrada de lápiz 121">
              <a:extLst>
                <a:ext uri="{FF2B5EF4-FFF2-40B4-BE49-F238E27FC236}">
                  <a16:creationId xmlns:a16="http://schemas.microsoft.com/office/drawing/2014/main" id="{354C864C-9A06-4FCE-9AD1-592A1B475B3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8">
          <xdr14:nvContentPartPr>
            <xdr14:cNvPr id="123" name="Entrada de lápiz 122">
              <a:extLst>
                <a:ext uri="{FF2B5EF4-FFF2-40B4-BE49-F238E27FC236}">
                  <a16:creationId xmlns:a16="http://schemas.microsoft.com/office/drawing/2014/main" id="{DBEA8A77-2C3B-479A-87A5-B069491AFB6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9">
          <xdr14:nvContentPartPr>
            <xdr14:cNvPr id="124" name="Entrada de lápiz 123">
              <a:extLst>
                <a:ext uri="{FF2B5EF4-FFF2-40B4-BE49-F238E27FC236}">
                  <a16:creationId xmlns:a16="http://schemas.microsoft.com/office/drawing/2014/main" id="{CCB9218F-27E6-42D5-A178-BEB8B05C58B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0">
          <xdr14:nvContentPartPr>
            <xdr14:cNvPr id="125" name="Entrada de lápiz 124">
              <a:extLst>
                <a:ext uri="{FF2B5EF4-FFF2-40B4-BE49-F238E27FC236}">
                  <a16:creationId xmlns:a16="http://schemas.microsoft.com/office/drawing/2014/main" id="{2A61E49F-E280-4E4F-AA34-C44EFD52374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1">
          <xdr14:nvContentPartPr>
            <xdr14:cNvPr id="126" name="Entrada de lápiz 125">
              <a:extLst>
                <a:ext uri="{FF2B5EF4-FFF2-40B4-BE49-F238E27FC236}">
                  <a16:creationId xmlns:a16="http://schemas.microsoft.com/office/drawing/2014/main" id="{3DE2344C-5228-411E-A0AF-B05EB6D38CF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2">
          <xdr14:nvContentPartPr>
            <xdr14:cNvPr id="127" name="Entrada de lápiz 126">
              <a:extLst>
                <a:ext uri="{FF2B5EF4-FFF2-40B4-BE49-F238E27FC236}">
                  <a16:creationId xmlns:a16="http://schemas.microsoft.com/office/drawing/2014/main" id="{CCEE667C-F27B-46C1-A2BC-273F64ABA1F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3">
          <xdr14:nvContentPartPr>
            <xdr14:cNvPr id="128" name="Entrada de lápiz 127">
              <a:extLst>
                <a:ext uri="{FF2B5EF4-FFF2-40B4-BE49-F238E27FC236}">
                  <a16:creationId xmlns:a16="http://schemas.microsoft.com/office/drawing/2014/main" id="{52C0C58D-9528-48B3-ACDE-9F4B81D0AC0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4">
          <xdr14:nvContentPartPr>
            <xdr14:cNvPr id="129" name="Entrada de lápiz 128">
              <a:extLst>
                <a:ext uri="{FF2B5EF4-FFF2-40B4-BE49-F238E27FC236}">
                  <a16:creationId xmlns:a16="http://schemas.microsoft.com/office/drawing/2014/main" id="{8C5A046A-568C-4FFB-B1AF-18CAE9FED30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5">
          <xdr14:nvContentPartPr>
            <xdr14:cNvPr id="130" name="Entrada de lápiz 129">
              <a:extLst>
                <a:ext uri="{FF2B5EF4-FFF2-40B4-BE49-F238E27FC236}">
                  <a16:creationId xmlns:a16="http://schemas.microsoft.com/office/drawing/2014/main" id="{63B3E678-C2E5-4DD7-80A1-A3BCE1100CB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6">
          <xdr14:nvContentPartPr>
            <xdr14:cNvPr id="131" name="Entrada de lápiz 130">
              <a:extLst>
                <a:ext uri="{FF2B5EF4-FFF2-40B4-BE49-F238E27FC236}">
                  <a16:creationId xmlns:a16="http://schemas.microsoft.com/office/drawing/2014/main" id="{486B6948-6B5B-4591-BD27-346CD95A48C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7">
          <xdr14:nvContentPartPr>
            <xdr14:cNvPr id="132" name="Entrada de lápiz 131">
              <a:extLst>
                <a:ext uri="{FF2B5EF4-FFF2-40B4-BE49-F238E27FC236}">
                  <a16:creationId xmlns:a16="http://schemas.microsoft.com/office/drawing/2014/main" id="{45EBEC42-3912-413B-A12D-D23FAAA4F04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8">
          <xdr14:nvContentPartPr>
            <xdr14:cNvPr id="133" name="Entrada de lápiz 132">
              <a:extLst>
                <a:ext uri="{FF2B5EF4-FFF2-40B4-BE49-F238E27FC236}">
                  <a16:creationId xmlns:a16="http://schemas.microsoft.com/office/drawing/2014/main" id="{CD4C518E-4287-4DFC-9EDF-6704D92EC03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9">
          <xdr14:nvContentPartPr>
            <xdr14:cNvPr id="134" name="Entrada de lápiz 133">
              <a:extLst>
                <a:ext uri="{FF2B5EF4-FFF2-40B4-BE49-F238E27FC236}">
                  <a16:creationId xmlns:a16="http://schemas.microsoft.com/office/drawing/2014/main" id="{33C43805-5D89-4D22-BD24-34194AA9EA6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0">
          <xdr14:nvContentPartPr>
            <xdr14:cNvPr id="135" name="Entrada de lápiz 134">
              <a:extLst>
                <a:ext uri="{FF2B5EF4-FFF2-40B4-BE49-F238E27FC236}">
                  <a16:creationId xmlns:a16="http://schemas.microsoft.com/office/drawing/2014/main" id="{944B3D33-D6C7-4211-BEE8-FA8E1A039E5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1">
          <xdr14:nvContentPartPr>
            <xdr14:cNvPr id="136" name="Entrada de lápiz 135">
              <a:extLst>
                <a:ext uri="{FF2B5EF4-FFF2-40B4-BE49-F238E27FC236}">
                  <a16:creationId xmlns:a16="http://schemas.microsoft.com/office/drawing/2014/main" id="{04C88291-7350-4C82-B68C-29AB073CF75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2">
          <xdr14:nvContentPartPr>
            <xdr14:cNvPr id="137" name="Entrada de lápiz 136">
              <a:extLst>
                <a:ext uri="{FF2B5EF4-FFF2-40B4-BE49-F238E27FC236}">
                  <a16:creationId xmlns:a16="http://schemas.microsoft.com/office/drawing/2014/main" id="{2F240945-E48F-4052-BBE5-C8D3EA5BA1C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3">
          <xdr14:nvContentPartPr>
            <xdr14:cNvPr id="138" name="Entrada de lápiz 137">
              <a:extLst>
                <a:ext uri="{FF2B5EF4-FFF2-40B4-BE49-F238E27FC236}">
                  <a16:creationId xmlns:a16="http://schemas.microsoft.com/office/drawing/2014/main" id="{13BF4363-10D5-4A8C-AE6B-DE7E9A7E067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4">
          <xdr14:nvContentPartPr>
            <xdr14:cNvPr id="139" name="Entrada de lápiz 138">
              <a:extLst>
                <a:ext uri="{FF2B5EF4-FFF2-40B4-BE49-F238E27FC236}">
                  <a16:creationId xmlns:a16="http://schemas.microsoft.com/office/drawing/2014/main" id="{B0E2E7A6-8600-4AD8-9CA1-21FB090C74C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5">
          <xdr14:nvContentPartPr>
            <xdr14:cNvPr id="140" name="Entrada de lápiz 139">
              <a:extLst>
                <a:ext uri="{FF2B5EF4-FFF2-40B4-BE49-F238E27FC236}">
                  <a16:creationId xmlns:a16="http://schemas.microsoft.com/office/drawing/2014/main" id="{1383DBD8-0567-4475-851B-B1FA3F62D20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6">
          <xdr14:nvContentPartPr>
            <xdr14:cNvPr id="141" name="Entrada de lápiz 140">
              <a:extLst>
                <a:ext uri="{FF2B5EF4-FFF2-40B4-BE49-F238E27FC236}">
                  <a16:creationId xmlns:a16="http://schemas.microsoft.com/office/drawing/2014/main" id="{63330669-46FF-41B7-94C9-2D95B37A898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7">
          <xdr14:nvContentPartPr>
            <xdr14:cNvPr id="142" name="Entrada de lápiz 141">
              <a:extLst>
                <a:ext uri="{FF2B5EF4-FFF2-40B4-BE49-F238E27FC236}">
                  <a16:creationId xmlns:a16="http://schemas.microsoft.com/office/drawing/2014/main" id="{52688D37-EDDF-4D23-8E98-E81F93257FE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8">
          <xdr14:nvContentPartPr>
            <xdr14:cNvPr id="143" name="Entrada de lápiz 142">
              <a:extLst>
                <a:ext uri="{FF2B5EF4-FFF2-40B4-BE49-F238E27FC236}">
                  <a16:creationId xmlns:a16="http://schemas.microsoft.com/office/drawing/2014/main" id="{B3BA7D99-BCA0-4C4D-8A80-7053CB86F5E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9">
          <xdr14:nvContentPartPr>
            <xdr14:cNvPr id="144" name="Entrada de lápiz 143">
              <a:extLst>
                <a:ext uri="{FF2B5EF4-FFF2-40B4-BE49-F238E27FC236}">
                  <a16:creationId xmlns:a16="http://schemas.microsoft.com/office/drawing/2014/main" id="{0E205DB5-158B-46B8-9A2F-4CE28F1B2D2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0">
          <xdr14:nvContentPartPr>
            <xdr14:cNvPr id="145" name="Entrada de lápiz 144">
              <a:extLst>
                <a:ext uri="{FF2B5EF4-FFF2-40B4-BE49-F238E27FC236}">
                  <a16:creationId xmlns:a16="http://schemas.microsoft.com/office/drawing/2014/main" id="{01565017-6946-4652-86B3-815EA92A7AC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1">
          <xdr14:nvContentPartPr>
            <xdr14:cNvPr id="146" name="Entrada de lápiz 145">
              <a:extLst>
                <a:ext uri="{FF2B5EF4-FFF2-40B4-BE49-F238E27FC236}">
                  <a16:creationId xmlns:a16="http://schemas.microsoft.com/office/drawing/2014/main" id="{6C677F1E-3B06-4676-BF1C-5B3DDE7CD4C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2">
          <xdr14:nvContentPartPr>
            <xdr14:cNvPr id="147" name="Entrada de lápiz 146">
              <a:extLst>
                <a:ext uri="{FF2B5EF4-FFF2-40B4-BE49-F238E27FC236}">
                  <a16:creationId xmlns:a16="http://schemas.microsoft.com/office/drawing/2014/main" id="{4D682FAC-37B4-4739-ACDC-E16710EFA1C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3">
          <xdr14:nvContentPartPr>
            <xdr14:cNvPr id="148" name="Entrada de lápiz 147">
              <a:extLst>
                <a:ext uri="{FF2B5EF4-FFF2-40B4-BE49-F238E27FC236}">
                  <a16:creationId xmlns:a16="http://schemas.microsoft.com/office/drawing/2014/main" id="{508A5685-A334-4C32-90A8-F621815230C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4">
          <xdr14:nvContentPartPr>
            <xdr14:cNvPr id="149" name="Entrada de lápiz 148">
              <a:extLst>
                <a:ext uri="{FF2B5EF4-FFF2-40B4-BE49-F238E27FC236}">
                  <a16:creationId xmlns:a16="http://schemas.microsoft.com/office/drawing/2014/main" id="{DF1F954F-B72B-4155-B957-29C6BF573AC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5">
          <xdr14:nvContentPartPr>
            <xdr14:cNvPr id="150" name="Entrada de lápiz 149">
              <a:extLst>
                <a:ext uri="{FF2B5EF4-FFF2-40B4-BE49-F238E27FC236}">
                  <a16:creationId xmlns:a16="http://schemas.microsoft.com/office/drawing/2014/main" id="{CDA5A0A7-E56E-4352-84C5-5AF0C128963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6">
          <xdr14:nvContentPartPr>
            <xdr14:cNvPr id="151" name="Entrada de lápiz 150">
              <a:extLst>
                <a:ext uri="{FF2B5EF4-FFF2-40B4-BE49-F238E27FC236}">
                  <a16:creationId xmlns:a16="http://schemas.microsoft.com/office/drawing/2014/main" id="{7EC93FF6-5455-498B-8345-F64E6690A1C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7">
          <xdr14:nvContentPartPr>
            <xdr14:cNvPr id="152" name="Entrada de lápiz 151">
              <a:extLst>
                <a:ext uri="{FF2B5EF4-FFF2-40B4-BE49-F238E27FC236}">
                  <a16:creationId xmlns:a16="http://schemas.microsoft.com/office/drawing/2014/main" id="{9EA8A37F-D164-4CF9-80E0-050A50F0225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8">
          <xdr14:nvContentPartPr>
            <xdr14:cNvPr id="153" name="Entrada de lápiz 152">
              <a:extLst>
                <a:ext uri="{FF2B5EF4-FFF2-40B4-BE49-F238E27FC236}">
                  <a16:creationId xmlns:a16="http://schemas.microsoft.com/office/drawing/2014/main" id="{94B4F498-4076-4200-B118-85A295665C4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9">
          <xdr14:nvContentPartPr>
            <xdr14:cNvPr id="154" name="Entrada de lápiz 153">
              <a:extLst>
                <a:ext uri="{FF2B5EF4-FFF2-40B4-BE49-F238E27FC236}">
                  <a16:creationId xmlns:a16="http://schemas.microsoft.com/office/drawing/2014/main" id="{7E4FEBC1-43B3-4159-9063-9F718128F9B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0">
          <xdr14:nvContentPartPr>
            <xdr14:cNvPr id="155" name="Entrada de lápiz 154">
              <a:extLst>
                <a:ext uri="{FF2B5EF4-FFF2-40B4-BE49-F238E27FC236}">
                  <a16:creationId xmlns:a16="http://schemas.microsoft.com/office/drawing/2014/main" id="{30B87040-6B1B-4A8E-9721-D4B95BCF5D1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1">
          <xdr14:nvContentPartPr>
            <xdr14:cNvPr id="156" name="Entrada de lápiz 155">
              <a:extLst>
                <a:ext uri="{FF2B5EF4-FFF2-40B4-BE49-F238E27FC236}">
                  <a16:creationId xmlns:a16="http://schemas.microsoft.com/office/drawing/2014/main" id="{2FEC888C-0798-4C9F-BBDE-17FB4DDAA6F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2">
          <xdr14:nvContentPartPr>
            <xdr14:cNvPr id="157" name="Entrada de lápiz 156">
              <a:extLst>
                <a:ext uri="{FF2B5EF4-FFF2-40B4-BE49-F238E27FC236}">
                  <a16:creationId xmlns:a16="http://schemas.microsoft.com/office/drawing/2014/main" id="{DD171E14-B30C-4629-94F0-EFD086981F1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3">
          <xdr14:nvContentPartPr>
            <xdr14:cNvPr id="158" name="Entrada de lápiz 157">
              <a:extLst>
                <a:ext uri="{FF2B5EF4-FFF2-40B4-BE49-F238E27FC236}">
                  <a16:creationId xmlns:a16="http://schemas.microsoft.com/office/drawing/2014/main" id="{42A73662-FABF-473E-BC15-50DAE577BB9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4">
          <xdr14:nvContentPartPr>
            <xdr14:cNvPr id="159" name="Entrada de lápiz 158">
              <a:extLst>
                <a:ext uri="{FF2B5EF4-FFF2-40B4-BE49-F238E27FC236}">
                  <a16:creationId xmlns:a16="http://schemas.microsoft.com/office/drawing/2014/main" id="{B8A4704E-748A-400F-8406-41A1206F928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5">
          <xdr14:nvContentPartPr>
            <xdr14:cNvPr id="160" name="Entrada de lápiz 159">
              <a:extLst>
                <a:ext uri="{FF2B5EF4-FFF2-40B4-BE49-F238E27FC236}">
                  <a16:creationId xmlns:a16="http://schemas.microsoft.com/office/drawing/2014/main" id="{3FEF28D6-CD45-49A1-A48A-B90977CA816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6">
          <xdr14:nvContentPartPr>
            <xdr14:cNvPr id="161" name="Entrada de lápiz 160">
              <a:extLst>
                <a:ext uri="{FF2B5EF4-FFF2-40B4-BE49-F238E27FC236}">
                  <a16:creationId xmlns:a16="http://schemas.microsoft.com/office/drawing/2014/main" id="{817E6C52-A1B0-4A7A-A33A-94D59A53F3B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7">
          <xdr14:nvContentPartPr>
            <xdr14:cNvPr id="162" name="Entrada de lápiz 161">
              <a:extLst>
                <a:ext uri="{FF2B5EF4-FFF2-40B4-BE49-F238E27FC236}">
                  <a16:creationId xmlns:a16="http://schemas.microsoft.com/office/drawing/2014/main" id="{BAD1AD79-A2EF-4D37-8775-17826803536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8">
          <xdr14:nvContentPartPr>
            <xdr14:cNvPr id="163" name="Entrada de lápiz 162">
              <a:extLst>
                <a:ext uri="{FF2B5EF4-FFF2-40B4-BE49-F238E27FC236}">
                  <a16:creationId xmlns:a16="http://schemas.microsoft.com/office/drawing/2014/main" id="{EB936B66-2A7D-43E3-A7E4-F17502189C2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9">
          <xdr14:nvContentPartPr>
            <xdr14:cNvPr id="164" name="Entrada de lápiz 163">
              <a:extLst>
                <a:ext uri="{FF2B5EF4-FFF2-40B4-BE49-F238E27FC236}">
                  <a16:creationId xmlns:a16="http://schemas.microsoft.com/office/drawing/2014/main" id="{292CD8DD-99B6-4CD4-B621-28F64135C97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0">
          <xdr14:nvContentPartPr>
            <xdr14:cNvPr id="165" name="Entrada de lápiz 164">
              <a:extLst>
                <a:ext uri="{FF2B5EF4-FFF2-40B4-BE49-F238E27FC236}">
                  <a16:creationId xmlns:a16="http://schemas.microsoft.com/office/drawing/2014/main" id="{A91B5162-595D-4EB1-8CF6-630675AC055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1">
          <xdr14:nvContentPartPr>
            <xdr14:cNvPr id="166" name="Entrada de lápiz 165">
              <a:extLst>
                <a:ext uri="{FF2B5EF4-FFF2-40B4-BE49-F238E27FC236}">
                  <a16:creationId xmlns:a16="http://schemas.microsoft.com/office/drawing/2014/main" id="{A1B4BFFD-341D-4C0D-A053-0959D6D2F3C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16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2">
          <xdr14:nvContentPartPr>
            <xdr14:cNvPr id="167" name="Entrada de lápiz 166">
              <a:extLst>
                <a:ext uri="{FF2B5EF4-FFF2-40B4-BE49-F238E27FC236}">
                  <a16:creationId xmlns:a16="http://schemas.microsoft.com/office/drawing/2014/main" id="{2323E2B9-EDF3-4522-85C6-524D189E0A7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3">
          <xdr14:nvContentPartPr>
            <xdr14:cNvPr id="168" name="Entrada de lápiz 167">
              <a:extLst>
                <a:ext uri="{FF2B5EF4-FFF2-40B4-BE49-F238E27FC236}">
                  <a16:creationId xmlns:a16="http://schemas.microsoft.com/office/drawing/2014/main" id="{6340AD75-0F15-4AE4-B2A8-A2D8F065227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4">
          <xdr14:nvContentPartPr>
            <xdr14:cNvPr id="169" name="Entrada de lápiz 168">
              <a:extLst>
                <a:ext uri="{FF2B5EF4-FFF2-40B4-BE49-F238E27FC236}">
                  <a16:creationId xmlns:a16="http://schemas.microsoft.com/office/drawing/2014/main" id="{EEA5061D-4C0F-4C42-9E41-C94934AD8D5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5">
          <xdr14:nvContentPartPr>
            <xdr14:cNvPr id="170" name="Entrada de lápiz 169">
              <a:extLst>
                <a:ext uri="{FF2B5EF4-FFF2-40B4-BE49-F238E27FC236}">
                  <a16:creationId xmlns:a16="http://schemas.microsoft.com/office/drawing/2014/main" id="{358BEEAE-7CDE-43FD-9529-DFCC6DC24B1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6">
          <xdr14:nvContentPartPr>
            <xdr14:cNvPr id="171" name="Entrada de lápiz 170">
              <a:extLst>
                <a:ext uri="{FF2B5EF4-FFF2-40B4-BE49-F238E27FC236}">
                  <a16:creationId xmlns:a16="http://schemas.microsoft.com/office/drawing/2014/main" id="{BA29B24F-33B3-48D9-939B-A104A295F0A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7">
          <xdr14:nvContentPartPr>
            <xdr14:cNvPr id="172" name="Entrada de lápiz 171">
              <a:extLst>
                <a:ext uri="{FF2B5EF4-FFF2-40B4-BE49-F238E27FC236}">
                  <a16:creationId xmlns:a16="http://schemas.microsoft.com/office/drawing/2014/main" id="{E6A707E7-63E1-4292-8A54-A34D44BF306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8">
          <xdr14:nvContentPartPr>
            <xdr14:cNvPr id="173" name="Entrada de lápiz 172">
              <a:extLst>
                <a:ext uri="{FF2B5EF4-FFF2-40B4-BE49-F238E27FC236}">
                  <a16:creationId xmlns:a16="http://schemas.microsoft.com/office/drawing/2014/main" id="{F2ED66EB-E21A-495E-86FA-8A823FB5CE2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9">
          <xdr14:nvContentPartPr>
            <xdr14:cNvPr id="174" name="Entrada de lápiz 173">
              <a:extLst>
                <a:ext uri="{FF2B5EF4-FFF2-40B4-BE49-F238E27FC236}">
                  <a16:creationId xmlns:a16="http://schemas.microsoft.com/office/drawing/2014/main" id="{FB46C8DE-BDAE-4612-AAE8-D3B5864590C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0">
          <xdr14:nvContentPartPr>
            <xdr14:cNvPr id="175" name="Entrada de lápiz 174">
              <a:extLst>
                <a:ext uri="{FF2B5EF4-FFF2-40B4-BE49-F238E27FC236}">
                  <a16:creationId xmlns:a16="http://schemas.microsoft.com/office/drawing/2014/main" id="{321C6CF5-11AD-43DD-99E4-E34B45516A5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1">
          <xdr14:nvContentPartPr>
            <xdr14:cNvPr id="176" name="Entrada de lápiz 175">
              <a:extLst>
                <a:ext uri="{FF2B5EF4-FFF2-40B4-BE49-F238E27FC236}">
                  <a16:creationId xmlns:a16="http://schemas.microsoft.com/office/drawing/2014/main" id="{E1F80D99-FE57-42D2-9011-D0606B36E1E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2">
          <xdr14:nvContentPartPr>
            <xdr14:cNvPr id="177" name="Entrada de lápiz 176">
              <a:extLst>
                <a:ext uri="{FF2B5EF4-FFF2-40B4-BE49-F238E27FC236}">
                  <a16:creationId xmlns:a16="http://schemas.microsoft.com/office/drawing/2014/main" id="{08AD3F21-0F01-43F8-8289-C9BD4308F83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3">
          <xdr14:nvContentPartPr>
            <xdr14:cNvPr id="178" name="Entrada de lápiz 177">
              <a:extLst>
                <a:ext uri="{FF2B5EF4-FFF2-40B4-BE49-F238E27FC236}">
                  <a16:creationId xmlns:a16="http://schemas.microsoft.com/office/drawing/2014/main" id="{63DEF413-404A-4DF0-9797-2D2E3CF0A55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4">
          <xdr14:nvContentPartPr>
            <xdr14:cNvPr id="179" name="Entrada de lápiz 178">
              <a:extLst>
                <a:ext uri="{FF2B5EF4-FFF2-40B4-BE49-F238E27FC236}">
                  <a16:creationId xmlns:a16="http://schemas.microsoft.com/office/drawing/2014/main" id="{E90B8DF9-682B-4861-B4F9-313F3AAE764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5">
          <xdr14:nvContentPartPr>
            <xdr14:cNvPr id="180" name="Entrada de lápiz 179">
              <a:extLst>
                <a:ext uri="{FF2B5EF4-FFF2-40B4-BE49-F238E27FC236}">
                  <a16:creationId xmlns:a16="http://schemas.microsoft.com/office/drawing/2014/main" id="{CAF0DD2D-491A-4013-9E9D-D19CC66CE38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6">
          <xdr14:nvContentPartPr>
            <xdr14:cNvPr id="181" name="Entrada de lápiz 180">
              <a:extLst>
                <a:ext uri="{FF2B5EF4-FFF2-40B4-BE49-F238E27FC236}">
                  <a16:creationId xmlns:a16="http://schemas.microsoft.com/office/drawing/2014/main" id="{60BB6EAD-C053-44D9-A86F-F8BB4B69F5E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7">
          <xdr14:nvContentPartPr>
            <xdr14:cNvPr id="182" name="Entrada de lápiz 181">
              <a:extLst>
                <a:ext uri="{FF2B5EF4-FFF2-40B4-BE49-F238E27FC236}">
                  <a16:creationId xmlns:a16="http://schemas.microsoft.com/office/drawing/2014/main" id="{6056E171-8AB5-4586-AD68-C4DD788C364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8">
          <xdr14:nvContentPartPr>
            <xdr14:cNvPr id="183" name="Entrada de lápiz 182">
              <a:extLst>
                <a:ext uri="{FF2B5EF4-FFF2-40B4-BE49-F238E27FC236}">
                  <a16:creationId xmlns:a16="http://schemas.microsoft.com/office/drawing/2014/main" id="{BF643C54-4880-458A-8E06-FADC0885A2E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9">
          <xdr14:nvContentPartPr>
            <xdr14:cNvPr id="184" name="Entrada de lápiz 183">
              <a:extLst>
                <a:ext uri="{FF2B5EF4-FFF2-40B4-BE49-F238E27FC236}">
                  <a16:creationId xmlns:a16="http://schemas.microsoft.com/office/drawing/2014/main" id="{07A34F02-49FE-4F8A-BAC1-F4A190CE85B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0">
          <xdr14:nvContentPartPr>
            <xdr14:cNvPr id="185" name="Entrada de lápiz 184">
              <a:extLst>
                <a:ext uri="{FF2B5EF4-FFF2-40B4-BE49-F238E27FC236}">
                  <a16:creationId xmlns:a16="http://schemas.microsoft.com/office/drawing/2014/main" id="{C8B4747D-7422-4D38-9027-987658BEC00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1">
          <xdr14:nvContentPartPr>
            <xdr14:cNvPr id="186" name="Entrada de lápiz 185">
              <a:extLst>
                <a:ext uri="{FF2B5EF4-FFF2-40B4-BE49-F238E27FC236}">
                  <a16:creationId xmlns:a16="http://schemas.microsoft.com/office/drawing/2014/main" id="{ACE5D3DB-6ACF-4D67-A60C-9E8308090B8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2">
          <xdr14:nvContentPartPr>
            <xdr14:cNvPr id="187" name="Entrada de lápiz 186">
              <a:extLst>
                <a:ext uri="{FF2B5EF4-FFF2-40B4-BE49-F238E27FC236}">
                  <a16:creationId xmlns:a16="http://schemas.microsoft.com/office/drawing/2014/main" id="{739D6B69-DF67-450B-9631-E04A8FDA441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3">
          <xdr14:nvContentPartPr>
            <xdr14:cNvPr id="188" name="Entrada de lápiz 187">
              <a:extLst>
                <a:ext uri="{FF2B5EF4-FFF2-40B4-BE49-F238E27FC236}">
                  <a16:creationId xmlns:a16="http://schemas.microsoft.com/office/drawing/2014/main" id="{655E730B-D3EA-4714-B308-A7E37CF23CB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4">
          <xdr14:nvContentPartPr>
            <xdr14:cNvPr id="189" name="Entrada de lápiz 188">
              <a:extLst>
                <a:ext uri="{FF2B5EF4-FFF2-40B4-BE49-F238E27FC236}">
                  <a16:creationId xmlns:a16="http://schemas.microsoft.com/office/drawing/2014/main" id="{BA357441-BB7D-48A2-933A-ED6CA735018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5">
          <xdr14:nvContentPartPr>
            <xdr14:cNvPr id="190" name="Entrada de lápiz 189">
              <a:extLst>
                <a:ext uri="{FF2B5EF4-FFF2-40B4-BE49-F238E27FC236}">
                  <a16:creationId xmlns:a16="http://schemas.microsoft.com/office/drawing/2014/main" id="{4FE89215-92DB-4519-AAA4-4345470CC5F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6">
          <xdr14:nvContentPartPr>
            <xdr14:cNvPr id="191" name="Entrada de lápiz 190">
              <a:extLst>
                <a:ext uri="{FF2B5EF4-FFF2-40B4-BE49-F238E27FC236}">
                  <a16:creationId xmlns:a16="http://schemas.microsoft.com/office/drawing/2014/main" id="{25927B7F-9C75-43D2-A57F-12ADB1FD0A0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7">
          <xdr14:nvContentPartPr>
            <xdr14:cNvPr id="192" name="Entrada de lápiz 191">
              <a:extLst>
                <a:ext uri="{FF2B5EF4-FFF2-40B4-BE49-F238E27FC236}">
                  <a16:creationId xmlns:a16="http://schemas.microsoft.com/office/drawing/2014/main" id="{9FA42018-BFD9-431A-B09F-2D78BE5616D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8">
          <xdr14:nvContentPartPr>
            <xdr14:cNvPr id="193" name="Entrada de lápiz 192">
              <a:extLst>
                <a:ext uri="{FF2B5EF4-FFF2-40B4-BE49-F238E27FC236}">
                  <a16:creationId xmlns:a16="http://schemas.microsoft.com/office/drawing/2014/main" id="{74E7EFDD-99E0-43EB-AB92-563A1D02E09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9">
          <xdr14:nvContentPartPr>
            <xdr14:cNvPr id="194" name="Entrada de lápiz 193">
              <a:extLst>
                <a:ext uri="{FF2B5EF4-FFF2-40B4-BE49-F238E27FC236}">
                  <a16:creationId xmlns:a16="http://schemas.microsoft.com/office/drawing/2014/main" id="{925A8C10-81D7-4094-AE71-BBF0F5FDE16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0">
          <xdr14:nvContentPartPr>
            <xdr14:cNvPr id="195" name="Entrada de lápiz 194">
              <a:extLst>
                <a:ext uri="{FF2B5EF4-FFF2-40B4-BE49-F238E27FC236}">
                  <a16:creationId xmlns:a16="http://schemas.microsoft.com/office/drawing/2014/main" id="{1000D607-3DD6-45E3-B8EF-50DBDB648E0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1">
          <xdr14:nvContentPartPr>
            <xdr14:cNvPr id="196" name="Entrada de lápiz 195">
              <a:extLst>
                <a:ext uri="{FF2B5EF4-FFF2-40B4-BE49-F238E27FC236}">
                  <a16:creationId xmlns:a16="http://schemas.microsoft.com/office/drawing/2014/main" id="{95A6EFC8-9461-4C87-9C61-F4A2E70C397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2">
          <xdr14:nvContentPartPr>
            <xdr14:cNvPr id="197" name="Entrada de lápiz 196">
              <a:extLst>
                <a:ext uri="{FF2B5EF4-FFF2-40B4-BE49-F238E27FC236}">
                  <a16:creationId xmlns:a16="http://schemas.microsoft.com/office/drawing/2014/main" id="{897CEF6D-352E-4B79-BFB4-C4D1EEDA1FD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3">
          <xdr14:nvContentPartPr>
            <xdr14:cNvPr id="198" name="Entrada de lápiz 197">
              <a:extLst>
                <a:ext uri="{FF2B5EF4-FFF2-40B4-BE49-F238E27FC236}">
                  <a16:creationId xmlns:a16="http://schemas.microsoft.com/office/drawing/2014/main" id="{E2199AA0-A030-4219-8863-BE38B60F79F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4">
          <xdr14:nvContentPartPr>
            <xdr14:cNvPr id="199" name="Entrada de lápiz 198">
              <a:extLst>
                <a:ext uri="{FF2B5EF4-FFF2-40B4-BE49-F238E27FC236}">
                  <a16:creationId xmlns:a16="http://schemas.microsoft.com/office/drawing/2014/main" id="{48E20584-2308-4EC9-BBE6-8D7C39DF243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5">
          <xdr14:nvContentPartPr>
            <xdr14:cNvPr id="200" name="Entrada de lápiz 199">
              <a:extLst>
                <a:ext uri="{FF2B5EF4-FFF2-40B4-BE49-F238E27FC236}">
                  <a16:creationId xmlns:a16="http://schemas.microsoft.com/office/drawing/2014/main" id="{D2A90626-401A-4B22-AF5B-BAA7EC61BE7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4</xdr:row>
      <xdr:rowOff>17584</xdr:rowOff>
    </xdr:from>
    <xdr:to>
      <xdr:col>8</xdr:col>
      <xdr:colOff>152400</xdr:colOff>
      <xdr:row>5</xdr:row>
      <xdr:rowOff>64477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EE407CCB-753A-424F-BE6D-C2C4124DC846}"/>
            </a:ext>
          </a:extLst>
        </xdr:cNvPr>
        <xdr:cNvCxnSpPr/>
      </xdr:nvCxnSpPr>
      <xdr:spPr>
        <a:xfrm flipV="1">
          <a:off x="7578969" y="861646"/>
          <a:ext cx="0" cy="228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123092</xdr:colOff>
      <xdr:row>4</xdr:row>
      <xdr:rowOff>0</xdr:rowOff>
    </xdr:from>
    <xdr:to>
      <xdr:col>10</xdr:col>
      <xdr:colOff>123092</xdr:colOff>
      <xdr:row>5</xdr:row>
      <xdr:rowOff>46893</xdr:rowOff>
    </xdr:to>
    <xdr:cxnSp macro="">
      <xdr:nvCxnSpPr>
        <xdr:cNvPr id="15" name="Conector recto de flecha 14">
          <a:extLst>
            <a:ext uri="{FF2B5EF4-FFF2-40B4-BE49-F238E27FC236}">
              <a16:creationId xmlns:a16="http://schemas.microsoft.com/office/drawing/2014/main" id="{CA9231D7-54F5-403E-AF05-997651F8076F}"/>
            </a:ext>
          </a:extLst>
        </xdr:cNvPr>
        <xdr:cNvCxnSpPr/>
      </xdr:nvCxnSpPr>
      <xdr:spPr>
        <a:xfrm flipV="1">
          <a:off x="8522677" y="844062"/>
          <a:ext cx="0" cy="228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0 7233,'0'0'0,"0"0"4265,0 0-3633,0 0-632,0 0 192,-2 0-96,2 0-40,0 0-56,-2 0 8,1 0 24,-1 0-16,2 0-16,-2 0 16,1 0-16,-1 0 0,2 0 0,-1 0-40,-1 0-16,0 0 8,2 0 48,-1 0-40,-1 0 40,0 0 0,1 0 0,1 0 0,-2 0-8,1 0-8,1 0 0,0 0 16,0 0-8,0 0 48,0 2 0,0-2 8,0 1-16,0 1-56,0 0 8,0-1-24,0 1-16,0-2 56,0 1-168,0 1-680,0-2-5457,0 0 6305,0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4"/>
    </inkml:context>
    <inkml:brush xml:id="br0">
      <inkml:brushProperty name="width" value="0.05" units="cm"/>
      <inkml:brushProperty name="height" value="0.05" units="cm"/>
      <inkml:brushProperty name="color" value="#ED1C24"/>
    </inkml:brush>
  </inkml:definitions>
  <inkml:trace contextRef="#ctx0" brushRef="#br0">20 7 10730,'0'0'0,"-2"0"2608,2 0-2608,-2 0 664,1 0-55,-3-3-65,4 3-544,-3 0 392,2-4-192,-3 4-112,4 0-88,-1 0 80,-1 0-24,2 0-16,0 0-40,0 0 48,0 0-8,3 0-24,-3 0-16,5 0-32,11 0-64,-11 0-88,-5 0 184,18 0-280,-13 0-72,14 0-56,-19 0 408,13 0-536,2 0-17,-10 0-79,-5 0 632,16 0-568,-11 0 56,13 0 56,-5 0 128,0 0-32,0 0 144,0 0 88,0 0 48,0 0 112,0 0-56,0 0 0,0 0-120,0 2-5962,-13-2 6106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1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6-10T16:52:53.82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02T21:26:17.52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02T21:26:19.23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02T21:26:21.97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11-18T01:47:07.31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11-18T01:47:16.83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11-18T01:47:22.09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11-18T01:47:22.09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11-18T01:47:22.09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11-18T01:47:58.99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24.45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27.72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27.72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27.72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27.73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3.02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3.02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3.02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3.02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3.02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3.02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3.02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0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0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1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31T23:37:36.02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40.36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48.83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48.83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48.83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48.83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48.84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6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7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7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2:53.87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4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4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04T22:53:03.45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0.24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2.47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2.47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2.47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2.47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2.47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2.47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5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5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5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5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5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5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6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7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7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35.87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5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3-18T00:26:40.86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5.40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8.47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8.47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8.47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8.48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8.48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8.48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08.48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79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79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79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79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79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79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0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6-29T21:03:11.81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3.74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28.27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3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3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3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4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5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05T21:46:32.66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8AFE-B30C-4E6A-8DE4-4F679B7DDE2A}">
  <sheetPr codeName="Hoja6"/>
  <dimension ref="A2:L68"/>
  <sheetViews>
    <sheetView workbookViewId="0">
      <selection activeCell="B32" sqref="B32"/>
    </sheetView>
  </sheetViews>
  <sheetFormatPr baseColWidth="10" defaultRowHeight="15" x14ac:dyDescent="0.25"/>
  <sheetData>
    <row r="2" spans="1:5" x14ac:dyDescent="0.25">
      <c r="B2" s="6" t="s">
        <v>42</v>
      </c>
      <c r="C2" s="7"/>
      <c r="D2" s="7"/>
      <c r="E2" s="7"/>
    </row>
    <row r="3" spans="1:5" x14ac:dyDescent="0.25">
      <c r="B3" s="1" t="s">
        <v>1</v>
      </c>
      <c r="C3" s="2" t="s">
        <v>25</v>
      </c>
      <c r="D3" s="1" t="s">
        <v>0</v>
      </c>
      <c r="E3" s="2" t="s">
        <v>24</v>
      </c>
    </row>
    <row r="4" spans="1:5" x14ac:dyDescent="0.25">
      <c r="A4" s="11" t="str">
        <f>+B4&amp;"D"</f>
        <v>1D</v>
      </c>
      <c r="B4">
        <v>1</v>
      </c>
      <c r="C4" s="3">
        <v>0.1</v>
      </c>
      <c r="D4">
        <v>7</v>
      </c>
      <c r="E4" s="3">
        <f>+C5</f>
        <v>0.10009999999999999</v>
      </c>
    </row>
    <row r="5" spans="1:5" x14ac:dyDescent="0.25">
      <c r="A5" s="11" t="str">
        <f>+B5&amp;"D"</f>
        <v>7D</v>
      </c>
      <c r="B5">
        <v>7</v>
      </c>
      <c r="C5" s="3">
        <v>0.10009999999999999</v>
      </c>
      <c r="D5">
        <v>14</v>
      </c>
      <c r="E5" s="3">
        <f t="shared" ref="E5:E24" si="0">+C6</f>
        <v>0.1002</v>
      </c>
    </row>
    <row r="6" spans="1:5" x14ac:dyDescent="0.25">
      <c r="A6" s="11" t="str">
        <f>+B6&amp;"D"</f>
        <v>14D</v>
      </c>
      <c r="B6">
        <v>14</v>
      </c>
      <c r="C6" s="3">
        <v>0.1002</v>
      </c>
      <c r="D6">
        <v>28</v>
      </c>
      <c r="E6" s="3">
        <f t="shared" si="0"/>
        <v>0.1002</v>
      </c>
    </row>
    <row r="7" spans="1:5" x14ac:dyDescent="0.25">
      <c r="A7" s="11" t="str">
        <f>+(B7/28)&amp;"M"</f>
        <v>1M</v>
      </c>
      <c r="B7">
        <v>28</v>
      </c>
      <c r="C7" s="3">
        <v>0.1002</v>
      </c>
      <c r="D7">
        <v>56</v>
      </c>
      <c r="E7" s="3">
        <f t="shared" si="0"/>
        <v>0.1</v>
      </c>
    </row>
    <row r="8" spans="1:5" x14ac:dyDescent="0.25">
      <c r="A8" s="11" t="str">
        <f>+(B8/28)&amp;"M"</f>
        <v>2M</v>
      </c>
      <c r="B8">
        <v>56</v>
      </c>
      <c r="C8" s="3">
        <v>0.1</v>
      </c>
      <c r="D8">
        <v>91</v>
      </c>
      <c r="E8" s="3">
        <f t="shared" si="0"/>
        <v>9.98E-2</v>
      </c>
    </row>
    <row r="9" spans="1:5" x14ac:dyDescent="0.25">
      <c r="A9" s="11" t="str">
        <f>+ROUND(B9/28,0)&amp;"M"</f>
        <v>3M</v>
      </c>
      <c r="B9">
        <v>91</v>
      </c>
      <c r="C9" s="3">
        <v>9.98E-2</v>
      </c>
      <c r="D9">
        <v>182</v>
      </c>
      <c r="E9" s="3">
        <f t="shared" si="0"/>
        <v>9.9700000000000011E-2</v>
      </c>
    </row>
    <row r="10" spans="1:5" x14ac:dyDescent="0.25">
      <c r="A10" s="11" t="str">
        <f>+ROUND(B10/30,0)&amp;"M"</f>
        <v>6M</v>
      </c>
      <c r="B10">
        <v>182</v>
      </c>
      <c r="C10" s="3">
        <v>9.9700000000000011E-2</v>
      </c>
      <c r="D10">
        <v>273</v>
      </c>
      <c r="E10" s="3">
        <f t="shared" si="0"/>
        <v>0.1003</v>
      </c>
    </row>
    <row r="11" spans="1:5" x14ac:dyDescent="0.25">
      <c r="A11" s="11" t="str">
        <f>+ROUND(B11/30,0)&amp;"M"</f>
        <v>9M</v>
      </c>
      <c r="B11">
        <v>273</v>
      </c>
      <c r="C11" s="3">
        <v>0.1003</v>
      </c>
      <c r="D11">
        <v>364</v>
      </c>
      <c r="E11" s="3">
        <f t="shared" si="0"/>
        <v>0.10009999999999999</v>
      </c>
    </row>
    <row r="12" spans="1:5" x14ac:dyDescent="0.25">
      <c r="A12" s="11" t="str">
        <f>+ROUND(B12/360,0)&amp;"Y"</f>
        <v>1Y</v>
      </c>
      <c r="B12">
        <v>364</v>
      </c>
      <c r="C12" s="3">
        <v>0.10009999999999999</v>
      </c>
      <c r="D12">
        <v>580</v>
      </c>
      <c r="E12" s="3">
        <f t="shared" si="0"/>
        <v>9.9729999999999999E-2</v>
      </c>
    </row>
    <row r="13" spans="1:5" x14ac:dyDescent="0.25">
      <c r="A13" s="11" t="str">
        <f t="shared" ref="A13:A25" si="1">+ROUND(B13/360,0)&amp;"Y"</f>
        <v>2Y</v>
      </c>
      <c r="B13">
        <v>728</v>
      </c>
      <c r="C13" s="3">
        <v>9.9729999999999999E-2</v>
      </c>
      <c r="D13">
        <v>900</v>
      </c>
      <c r="E13" s="3">
        <f t="shared" si="0"/>
        <v>9.8239999999999994E-2</v>
      </c>
    </row>
    <row r="14" spans="1:5" x14ac:dyDescent="0.25">
      <c r="A14" s="11" t="str">
        <f t="shared" si="1"/>
        <v>3Y</v>
      </c>
      <c r="B14" s="4">
        <v>1092</v>
      </c>
      <c r="C14" s="3">
        <v>9.8239999999999994E-2</v>
      </c>
      <c r="D14" s="4">
        <v>1260</v>
      </c>
      <c r="E14" s="3">
        <f t="shared" si="0"/>
        <v>9.8699999999999996E-2</v>
      </c>
    </row>
    <row r="15" spans="1:5" x14ac:dyDescent="0.25">
      <c r="A15" s="11" t="str">
        <f t="shared" si="1"/>
        <v>4Y</v>
      </c>
      <c r="B15" s="4">
        <v>1440</v>
      </c>
      <c r="C15" s="3">
        <v>9.8699999999999996E-2</v>
      </c>
      <c r="D15" s="4">
        <v>1800</v>
      </c>
      <c r="E15" s="3">
        <f t="shared" si="0"/>
        <v>9.9739999999999995E-2</v>
      </c>
    </row>
    <row r="16" spans="1:5" x14ac:dyDescent="0.25">
      <c r="A16" s="11" t="str">
        <f t="shared" si="1"/>
        <v>5Y</v>
      </c>
      <c r="B16" s="4">
        <v>1800</v>
      </c>
      <c r="C16" s="3">
        <v>9.9739999999999995E-2</v>
      </c>
      <c r="D16" s="4">
        <v>2160</v>
      </c>
      <c r="E16" s="3">
        <f t="shared" si="0"/>
        <v>0.10009</v>
      </c>
    </row>
    <row r="17" spans="1:11" x14ac:dyDescent="0.25">
      <c r="A17" s="11" t="str">
        <f t="shared" si="1"/>
        <v>6Y</v>
      </c>
      <c r="B17" s="4">
        <v>2160</v>
      </c>
      <c r="C17" s="3">
        <v>0.10009</v>
      </c>
      <c r="D17" s="4">
        <v>2520</v>
      </c>
      <c r="E17" s="3">
        <f t="shared" si="0"/>
        <v>0.10044</v>
      </c>
    </row>
    <row r="18" spans="1:11" x14ac:dyDescent="0.25">
      <c r="A18" s="11" t="str">
        <f t="shared" si="1"/>
        <v>7Y</v>
      </c>
      <c r="B18" s="4">
        <v>2520</v>
      </c>
      <c r="C18" s="3">
        <v>0.10044</v>
      </c>
      <c r="D18" s="4">
        <v>2880</v>
      </c>
      <c r="E18" s="3">
        <f t="shared" si="0"/>
        <v>0.1012</v>
      </c>
    </row>
    <row r="19" spans="1:11" x14ac:dyDescent="0.25">
      <c r="A19" s="11" t="str">
        <f t="shared" si="1"/>
        <v>8Y</v>
      </c>
      <c r="B19" s="4">
        <v>2880</v>
      </c>
      <c r="C19" s="3">
        <v>0.1012</v>
      </c>
      <c r="D19" s="4">
        <v>3240</v>
      </c>
      <c r="E19" s="3">
        <f t="shared" si="0"/>
        <v>0.10273</v>
      </c>
    </row>
    <row r="20" spans="1:11" x14ac:dyDescent="0.25">
      <c r="A20" s="11" t="str">
        <f t="shared" si="1"/>
        <v>9Y</v>
      </c>
      <c r="B20" s="4">
        <v>3240</v>
      </c>
      <c r="C20" s="3">
        <v>0.10273</v>
      </c>
      <c r="D20" s="4">
        <v>3600</v>
      </c>
      <c r="E20" s="44">
        <f t="shared" si="0"/>
        <v>0.10424</v>
      </c>
    </row>
    <row r="21" spans="1:11" x14ac:dyDescent="0.25">
      <c r="A21" s="11" t="str">
        <f t="shared" si="1"/>
        <v>10Y</v>
      </c>
      <c r="B21" s="4">
        <v>3600</v>
      </c>
      <c r="C21" s="3">
        <v>0.10424</v>
      </c>
      <c r="D21" s="4">
        <v>5400</v>
      </c>
      <c r="E21" s="3">
        <f t="shared" si="0"/>
        <v>0.10544000000000001</v>
      </c>
    </row>
    <row r="22" spans="1:11" x14ac:dyDescent="0.25">
      <c r="A22" s="11" t="str">
        <f t="shared" si="1"/>
        <v>15Y</v>
      </c>
      <c r="B22" s="4">
        <v>5400</v>
      </c>
      <c r="C22" s="3">
        <v>0.10544000000000001</v>
      </c>
      <c r="D22" s="4">
        <v>7200</v>
      </c>
      <c r="E22" s="3">
        <f t="shared" si="0"/>
        <v>0.10704000000000001</v>
      </c>
    </row>
    <row r="23" spans="1:11" x14ac:dyDescent="0.25">
      <c r="A23" s="11" t="str">
        <f t="shared" si="1"/>
        <v>20Y</v>
      </c>
      <c r="B23" s="4">
        <v>7200</v>
      </c>
      <c r="C23" s="3">
        <v>0.10704000000000001</v>
      </c>
      <c r="D23" s="4">
        <v>9000</v>
      </c>
      <c r="E23" s="3">
        <f t="shared" si="0"/>
        <v>0.10724</v>
      </c>
    </row>
    <row r="24" spans="1:11" x14ac:dyDescent="0.25">
      <c r="A24" s="11" t="str">
        <f t="shared" si="1"/>
        <v>25Y</v>
      </c>
      <c r="B24" s="4">
        <v>9000</v>
      </c>
      <c r="C24" s="3">
        <v>0.10724</v>
      </c>
      <c r="D24" s="4">
        <v>10800</v>
      </c>
      <c r="E24" s="3">
        <f t="shared" si="0"/>
        <v>0.10743999999999999</v>
      </c>
    </row>
    <row r="25" spans="1:11" x14ac:dyDescent="0.25">
      <c r="A25" s="11" t="str">
        <f t="shared" si="1"/>
        <v>30Y</v>
      </c>
      <c r="B25" s="4">
        <v>10800</v>
      </c>
      <c r="C25" s="3">
        <v>0.10743999999999999</v>
      </c>
      <c r="D25" s="4">
        <v>10800</v>
      </c>
      <c r="E25" s="3">
        <f>+C25</f>
        <v>0.10743999999999999</v>
      </c>
    </row>
    <row r="29" spans="1:11" x14ac:dyDescent="0.25">
      <c r="B29" t="s">
        <v>43</v>
      </c>
      <c r="I29" s="36"/>
      <c r="J29" s="42"/>
    </row>
    <row r="30" spans="1:11" x14ac:dyDescent="0.25">
      <c r="B30" t="s">
        <v>44</v>
      </c>
      <c r="I30" s="36"/>
      <c r="J30" s="42"/>
    </row>
    <row r="31" spans="1:11" x14ac:dyDescent="0.25">
      <c r="B31" t="s">
        <v>45</v>
      </c>
      <c r="J31" s="36"/>
      <c r="K31" s="43"/>
    </row>
    <row r="32" spans="1:11" x14ac:dyDescent="0.25">
      <c r="B32" t="s">
        <v>46</v>
      </c>
      <c r="J32" s="36"/>
      <c r="K32" s="43"/>
    </row>
    <row r="33" spans="10:11" x14ac:dyDescent="0.25">
      <c r="J33" s="36"/>
      <c r="K33" s="43"/>
    </row>
    <row r="34" spans="10:11" x14ac:dyDescent="0.25">
      <c r="J34" s="36"/>
      <c r="K34" s="43"/>
    </row>
    <row r="35" spans="10:11" x14ac:dyDescent="0.25">
      <c r="J35" s="36"/>
      <c r="K35" s="43"/>
    </row>
    <row r="36" spans="10:11" x14ac:dyDescent="0.25">
      <c r="J36" s="36"/>
      <c r="K36" s="43"/>
    </row>
    <row r="37" spans="10:11" x14ac:dyDescent="0.25">
      <c r="J37" s="36"/>
      <c r="K37" s="43"/>
    </row>
    <row r="38" spans="10:11" x14ac:dyDescent="0.25">
      <c r="J38" s="36"/>
      <c r="K38" s="43"/>
    </row>
    <row r="39" spans="10:11" x14ac:dyDescent="0.25">
      <c r="J39" s="36"/>
      <c r="K39" s="43"/>
    </row>
    <row r="40" spans="10:11" x14ac:dyDescent="0.25">
      <c r="J40" s="36"/>
      <c r="K40" s="43"/>
    </row>
    <row r="41" spans="10:11" x14ac:dyDescent="0.25">
      <c r="J41" s="36"/>
      <c r="K41" s="43"/>
    </row>
    <row r="42" spans="10:11" x14ac:dyDescent="0.25">
      <c r="J42" s="36"/>
      <c r="K42" s="43"/>
    </row>
    <row r="44" spans="10:11" x14ac:dyDescent="0.25">
      <c r="J44" s="36"/>
      <c r="K44" s="42"/>
    </row>
    <row r="45" spans="10:11" x14ac:dyDescent="0.25">
      <c r="J45" s="36"/>
      <c r="K45" s="42"/>
    </row>
    <row r="46" spans="10:11" x14ac:dyDescent="0.25">
      <c r="J46" s="36"/>
      <c r="K46" s="42"/>
    </row>
    <row r="47" spans="10:11" x14ac:dyDescent="0.25">
      <c r="J47" s="36"/>
      <c r="K47" s="42"/>
    </row>
    <row r="48" spans="10:11" x14ac:dyDescent="0.25">
      <c r="J48" s="36"/>
      <c r="K48" s="42"/>
    </row>
    <row r="49" spans="10:12" x14ac:dyDescent="0.25">
      <c r="J49" s="36"/>
      <c r="K49" s="42"/>
    </row>
    <row r="50" spans="10:12" x14ac:dyDescent="0.25">
      <c r="J50" s="36"/>
      <c r="K50" s="42"/>
    </row>
    <row r="51" spans="10:12" x14ac:dyDescent="0.25">
      <c r="J51" s="36"/>
      <c r="K51" s="42"/>
    </row>
    <row r="52" spans="10:12" x14ac:dyDescent="0.25">
      <c r="J52" s="36"/>
      <c r="K52" s="42"/>
    </row>
    <row r="53" spans="10:12" x14ac:dyDescent="0.25">
      <c r="J53" s="36"/>
      <c r="K53" s="42"/>
    </row>
    <row r="54" spans="10:12" x14ac:dyDescent="0.25">
      <c r="J54" s="36"/>
      <c r="K54" s="42"/>
    </row>
    <row r="55" spans="10:12" x14ac:dyDescent="0.25">
      <c r="J55" s="36"/>
      <c r="K55" s="42"/>
    </row>
    <row r="57" spans="10:12" x14ac:dyDescent="0.25">
      <c r="K57" s="36"/>
      <c r="L57" s="42"/>
    </row>
    <row r="58" spans="10:12" x14ac:dyDescent="0.25">
      <c r="K58" s="36"/>
      <c r="L58" s="42"/>
    </row>
    <row r="59" spans="10:12" x14ac:dyDescent="0.25">
      <c r="K59" s="36"/>
      <c r="L59" s="42"/>
    </row>
    <row r="60" spans="10:12" x14ac:dyDescent="0.25">
      <c r="K60" s="36"/>
      <c r="L60" s="42"/>
    </row>
    <row r="61" spans="10:12" x14ac:dyDescent="0.25">
      <c r="K61" s="36"/>
      <c r="L61" s="42"/>
    </row>
    <row r="62" spans="10:12" x14ac:dyDescent="0.25">
      <c r="K62" s="36"/>
      <c r="L62" s="42"/>
    </row>
    <row r="63" spans="10:12" x14ac:dyDescent="0.25">
      <c r="K63" s="36"/>
      <c r="L63" s="42"/>
    </row>
    <row r="64" spans="10:12" x14ac:dyDescent="0.25">
      <c r="K64" s="36"/>
      <c r="L64" s="42"/>
    </row>
    <row r="65" spans="11:12" x14ac:dyDescent="0.25">
      <c r="K65" s="36"/>
      <c r="L65" s="42"/>
    </row>
    <row r="66" spans="11:12" x14ac:dyDescent="0.25">
      <c r="K66" s="36"/>
      <c r="L66" s="42"/>
    </row>
    <row r="67" spans="11:12" x14ac:dyDescent="0.25">
      <c r="K67" s="36"/>
      <c r="L67" s="42"/>
    </row>
    <row r="68" spans="11:12" x14ac:dyDescent="0.25">
      <c r="K68" s="36"/>
      <c r="L68" s="4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13"/>
  <sheetViews>
    <sheetView showGridLines="0" zoomScale="165" zoomScaleNormal="165" workbookViewId="0">
      <selection activeCell="J12" sqref="J12"/>
    </sheetView>
  </sheetViews>
  <sheetFormatPr baseColWidth="10" defaultColWidth="10.7109375" defaultRowHeight="15" x14ac:dyDescent="0.25"/>
  <cols>
    <col min="1" max="1" width="22.42578125" bestFit="1" customWidth="1"/>
    <col min="2" max="2" width="11.140625" bestFit="1" customWidth="1"/>
    <col min="3" max="3" width="13.140625" bestFit="1" customWidth="1"/>
    <col min="4" max="4" width="18.140625" customWidth="1"/>
    <col min="6" max="6" width="8.140625" customWidth="1"/>
    <col min="7" max="7" width="5.140625" customWidth="1"/>
    <col min="8" max="8" width="6.140625" customWidth="1"/>
    <col min="14" max="14" width="5.7109375" customWidth="1"/>
    <col min="15" max="15" width="4.28515625" bestFit="1" customWidth="1"/>
  </cols>
  <sheetData>
    <row r="1" spans="1:16" ht="23.25" x14ac:dyDescent="0.35">
      <c r="A1" s="31" t="s">
        <v>26</v>
      </c>
    </row>
    <row r="3" spans="1:16" x14ac:dyDescent="0.25">
      <c r="A3" t="s">
        <v>4</v>
      </c>
      <c r="B3" s="39">
        <v>10</v>
      </c>
      <c r="F3" s="10"/>
      <c r="G3" s="14">
        <f>+B10</f>
        <v>9.7749801129581204</v>
      </c>
      <c r="H3" s="15"/>
      <c r="I3" s="50">
        <f>+F4+30</f>
        <v>45687</v>
      </c>
      <c r="J3" s="15"/>
      <c r="K3" s="15"/>
      <c r="L3" s="15"/>
      <c r="M3" s="15"/>
      <c r="N3" s="15"/>
      <c r="O3" s="14">
        <v>10</v>
      </c>
    </row>
    <row r="4" spans="1:16" x14ac:dyDescent="0.25">
      <c r="A4" t="s">
        <v>2</v>
      </c>
      <c r="B4" s="40">
        <v>45657</v>
      </c>
      <c r="F4" s="28">
        <f>+B4</f>
        <v>45657</v>
      </c>
      <c r="G4" t="s">
        <v>35</v>
      </c>
      <c r="I4" s="51" t="s">
        <v>36</v>
      </c>
      <c r="P4" s="29">
        <f>+B5</f>
        <v>45740</v>
      </c>
    </row>
    <row r="5" spans="1:16" x14ac:dyDescent="0.25">
      <c r="A5" t="s">
        <v>3</v>
      </c>
      <c r="B5" s="5">
        <v>45740</v>
      </c>
      <c r="C5" s="58"/>
      <c r="F5" s="13" t="s">
        <v>16</v>
      </c>
      <c r="P5" s="30" t="s">
        <v>17</v>
      </c>
    </row>
    <row r="6" spans="1:16" x14ac:dyDescent="0.25">
      <c r="G6" s="8" t="s">
        <v>33</v>
      </c>
      <c r="O6" s="8"/>
    </row>
    <row r="7" spans="1:16" x14ac:dyDescent="0.25">
      <c r="A7" t="s">
        <v>5</v>
      </c>
      <c r="B7" s="23">
        <f>B5-B4</f>
        <v>83</v>
      </c>
      <c r="C7" t="s">
        <v>47</v>
      </c>
      <c r="D7" t="s">
        <v>48</v>
      </c>
      <c r="F7" s="45"/>
      <c r="G7" s="45"/>
      <c r="H7" s="46" t="s">
        <v>31</v>
      </c>
      <c r="I7" s="46" t="s">
        <v>32</v>
      </c>
      <c r="O7" s="8"/>
    </row>
    <row r="8" spans="1:16" x14ac:dyDescent="0.25">
      <c r="A8" t="s">
        <v>6</v>
      </c>
      <c r="B8" s="24" cm="1">
        <f t="array" ref="B8">Interpolacion_Tasa(B7,Curva!B4:E25)</f>
        <v>9.9845714285714288E-2</v>
      </c>
      <c r="C8" s="11" t="s">
        <v>49</v>
      </c>
      <c r="D8" t="s">
        <v>50</v>
      </c>
      <c r="F8" s="45"/>
      <c r="G8" s="47" t="s">
        <v>30</v>
      </c>
      <c r="H8" s="48">
        <f>O3-G3</f>
        <v>0.22501988704187958</v>
      </c>
      <c r="I8" s="49">
        <f>H8/G3</f>
        <v>2.3019984126983938E-2</v>
      </c>
    </row>
    <row r="10" spans="1:16" x14ac:dyDescent="0.25">
      <c r="A10" s="1" t="s">
        <v>7</v>
      </c>
      <c r="B10" s="41">
        <f>B3/(1+B8*B7/360)</f>
        <v>9.7749801129581204</v>
      </c>
      <c r="G10" t="s">
        <v>34</v>
      </c>
    </row>
    <row r="11" spans="1:16" x14ac:dyDescent="0.25">
      <c r="F11" s="45"/>
      <c r="G11" s="52"/>
      <c r="H11" s="46" t="s">
        <v>31</v>
      </c>
      <c r="I11" s="46" t="s">
        <v>32</v>
      </c>
      <c r="O11" s="8"/>
    </row>
    <row r="12" spans="1:16" x14ac:dyDescent="0.25">
      <c r="A12" s="1" t="s">
        <v>27</v>
      </c>
      <c r="B12" s="25" cm="1">
        <f t="array" ref="B12">Cete(B3,B7,B8)</f>
        <v>9.7749801129581186</v>
      </c>
      <c r="F12" s="45"/>
      <c r="G12" s="47" t="s">
        <v>30</v>
      </c>
      <c r="H12" s="46" t="s">
        <v>37</v>
      </c>
      <c r="I12" s="46" t="s">
        <v>38</v>
      </c>
      <c r="J12" s="60">
        <f>9.8551/G3-1</f>
        <v>8.1964245569838834E-3</v>
      </c>
      <c r="O12" s="8"/>
    </row>
    <row r="13" spans="1:16" x14ac:dyDescent="0.25">
      <c r="G13" s="8"/>
      <c r="H13" t="s">
        <v>51</v>
      </c>
      <c r="O13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S21"/>
  <sheetViews>
    <sheetView showGridLines="0" tabSelected="1" zoomScale="120" zoomScaleNormal="120" workbookViewId="0">
      <selection activeCell="L22" sqref="L22"/>
    </sheetView>
  </sheetViews>
  <sheetFormatPr baseColWidth="10" defaultColWidth="10.7109375" defaultRowHeight="15" x14ac:dyDescent="0.25"/>
  <cols>
    <col min="1" max="1" width="34.85546875" bestFit="1" customWidth="1"/>
    <col min="2" max="2" width="11.5703125" bestFit="1" customWidth="1"/>
    <col min="4" max="4" width="15.28515625" customWidth="1"/>
    <col min="5" max="5" width="14.28515625" customWidth="1"/>
    <col min="7" max="7" width="5.85546875" customWidth="1"/>
    <col min="8" max="8" width="7.28515625" customWidth="1"/>
    <col min="9" max="9" width="3.42578125" bestFit="1" customWidth="1"/>
    <col min="11" max="11" width="3.42578125" bestFit="1" customWidth="1"/>
    <col min="12" max="12" width="12" customWidth="1"/>
    <col min="13" max="13" width="4" bestFit="1" customWidth="1"/>
    <col min="16" max="16" width="3.42578125" bestFit="1" customWidth="1"/>
    <col min="18" max="18" width="6.7109375" style="11" customWidth="1"/>
  </cols>
  <sheetData>
    <row r="1" spans="1:19" ht="23.25" x14ac:dyDescent="0.35">
      <c r="A1" s="31" t="s">
        <v>29</v>
      </c>
    </row>
    <row r="2" spans="1:19" x14ac:dyDescent="0.25">
      <c r="P2">
        <v>91.279183758007605</v>
      </c>
    </row>
    <row r="3" spans="1:19" x14ac:dyDescent="0.25">
      <c r="H3" s="57">
        <f>182-B10</f>
        <v>156.00000000000009</v>
      </c>
      <c r="J3" s="57">
        <v>182</v>
      </c>
      <c r="L3" s="57">
        <v>182</v>
      </c>
      <c r="N3" s="57">
        <v>182</v>
      </c>
      <c r="Q3" s="57">
        <v>182</v>
      </c>
    </row>
    <row r="4" spans="1:19" x14ac:dyDescent="0.25">
      <c r="A4" t="s">
        <v>8</v>
      </c>
      <c r="B4" s="32">
        <v>100</v>
      </c>
      <c r="G4" s="17">
        <f>+B17</f>
        <v>89.866264210056826</v>
      </c>
      <c r="H4" s="15"/>
      <c r="I4" s="18">
        <f>+B13</f>
        <v>3.9180555555555556</v>
      </c>
      <c r="J4" s="15"/>
      <c r="K4" s="18">
        <f>+I4</f>
        <v>3.9180555555555556</v>
      </c>
      <c r="L4" s="15"/>
      <c r="M4" s="18">
        <f>+K4</f>
        <v>3.9180555555555556</v>
      </c>
      <c r="N4" s="15"/>
      <c r="O4" s="11" t="s">
        <v>20</v>
      </c>
      <c r="P4" s="18">
        <f>+M4</f>
        <v>3.9180555555555556</v>
      </c>
      <c r="Q4" s="15"/>
      <c r="R4" s="19">
        <f>+M4</f>
        <v>3.9180555555555556</v>
      </c>
      <c r="S4" s="35">
        <v>47997</v>
      </c>
    </row>
    <row r="5" spans="1:19" x14ac:dyDescent="0.25">
      <c r="A5" t="s">
        <v>9</v>
      </c>
      <c r="B5" s="40">
        <v>45657</v>
      </c>
      <c r="F5" s="34">
        <f>+B5</f>
        <v>45657</v>
      </c>
      <c r="H5" s="21"/>
      <c r="L5" s="53">
        <f>+F5+365</f>
        <v>46022</v>
      </c>
      <c r="R5" s="16" t="s">
        <v>21</v>
      </c>
      <c r="S5" s="30" t="s">
        <v>17</v>
      </c>
    </row>
    <row r="6" spans="1:19" x14ac:dyDescent="0.25">
      <c r="A6" t="s">
        <v>10</v>
      </c>
      <c r="B6" s="5">
        <v>47997</v>
      </c>
      <c r="F6" s="13" t="s">
        <v>19</v>
      </c>
      <c r="G6" s="11" t="s">
        <v>35</v>
      </c>
      <c r="L6" s="11" t="s">
        <v>36</v>
      </c>
      <c r="N6" s="11"/>
      <c r="R6" s="20">
        <v>100</v>
      </c>
    </row>
    <row r="7" spans="1:19" x14ac:dyDescent="0.25">
      <c r="A7" t="s">
        <v>12</v>
      </c>
      <c r="B7" s="36">
        <v>7.7499999999999999E-2</v>
      </c>
      <c r="J7" s="33"/>
      <c r="L7" s="22"/>
      <c r="N7" s="11"/>
    </row>
    <row r="8" spans="1:19" x14ac:dyDescent="0.25">
      <c r="A8" t="s">
        <v>11</v>
      </c>
      <c r="B8" s="23">
        <f>B6-B5</f>
        <v>2340</v>
      </c>
      <c r="D8" s="10"/>
      <c r="N8" s="11"/>
    </row>
    <row r="9" spans="1:19" x14ac:dyDescent="0.25">
      <c r="A9" t="s">
        <v>18</v>
      </c>
      <c r="B9" s="37">
        <f>ROUNDUP(B8/182,0)</f>
        <v>13</v>
      </c>
      <c r="C9" t="s">
        <v>52</v>
      </c>
      <c r="N9" s="11"/>
    </row>
    <row r="10" spans="1:19" x14ac:dyDescent="0.25">
      <c r="A10" t="s">
        <v>28</v>
      </c>
      <c r="B10" s="37">
        <f>(B9-B8/182)*182</f>
        <v>25.999999999999908</v>
      </c>
      <c r="C10" t="s">
        <v>53</v>
      </c>
      <c r="E10" s="8"/>
    </row>
    <row r="11" spans="1:19" ht="13.15" customHeight="1" x14ac:dyDescent="0.25">
      <c r="A11" s="8" t="s">
        <v>22</v>
      </c>
      <c r="B11" s="26" cm="1">
        <f t="array" ref="B11">Interpolacion_Tasa(B8,Curva!B4:E25)</f>
        <v>0.10026499999999999</v>
      </c>
      <c r="C11" s="56"/>
      <c r="D11" s="22"/>
      <c r="E11" s="22"/>
      <c r="F11" s="22"/>
      <c r="G11" s="22"/>
      <c r="H11" s="22"/>
      <c r="N11" s="11"/>
    </row>
    <row r="12" spans="1:19" x14ac:dyDescent="0.25">
      <c r="D12" s="22"/>
      <c r="E12" s="22"/>
      <c r="F12" s="22"/>
      <c r="G12" s="22"/>
      <c r="H12" s="22"/>
    </row>
    <row r="13" spans="1:19" x14ac:dyDescent="0.25">
      <c r="A13" t="s">
        <v>23</v>
      </c>
      <c r="B13" s="38">
        <f>B4*B7*182/360</f>
        <v>3.9180555555555556</v>
      </c>
      <c r="J13" s="8" t="s">
        <v>39</v>
      </c>
    </row>
    <row r="14" spans="1:19" x14ac:dyDescent="0.25">
      <c r="A14" t="s">
        <v>13</v>
      </c>
      <c r="B14" s="26">
        <f>B11*182/360</f>
        <v>5.0689527777777778E-2</v>
      </c>
    </row>
    <row r="15" spans="1:19" x14ac:dyDescent="0.25">
      <c r="E15" s="8"/>
      <c r="L15" s="46" t="s">
        <v>31</v>
      </c>
      <c r="N15" s="46" t="s">
        <v>32</v>
      </c>
    </row>
    <row r="16" spans="1:19" x14ac:dyDescent="0.25">
      <c r="E16" s="8"/>
      <c r="J16" t="s">
        <v>41</v>
      </c>
      <c r="L16" s="48">
        <f>(B9*I4+R6)-G4</f>
        <v>61.06845801216538</v>
      </c>
      <c r="N16" s="49">
        <f>+(B9*I4+R6)/G4-1</f>
        <v>0.67954819919321041</v>
      </c>
      <c r="O16" s="3"/>
    </row>
    <row r="17" spans="1:14" x14ac:dyDescent="0.25">
      <c r="A17" s="59" t="s">
        <v>14</v>
      </c>
      <c r="B17" s="12">
        <f>(B13+B13*(1/B14-1/(B14*(1+B14)^(B9-1)))+B4/(1+B14)^(B9-1))/(1+B14)^(1-B10/182)</f>
        <v>89.866264210056826</v>
      </c>
      <c r="E17" s="8"/>
    </row>
    <row r="18" spans="1:14" x14ac:dyDescent="0.25">
      <c r="A18" s="9" t="s">
        <v>15</v>
      </c>
      <c r="B18" s="12">
        <f>B17-B13*B10/182</f>
        <v>89.306541987834606</v>
      </c>
      <c r="E18" s="8"/>
      <c r="J18" s="8" t="s">
        <v>40</v>
      </c>
    </row>
    <row r="20" spans="1:14" x14ac:dyDescent="0.25">
      <c r="L20" s="46" t="s">
        <v>31</v>
      </c>
      <c r="N20" s="46" t="s">
        <v>32</v>
      </c>
    </row>
    <row r="21" spans="1:14" x14ac:dyDescent="0.25">
      <c r="A21" s="9" t="s">
        <v>14</v>
      </c>
      <c r="B21" s="27" cm="1">
        <f t="array" ref="B21">BonoM(B4,B7,B8,B11)</f>
        <v>89.866264210056841</v>
      </c>
      <c r="L21" s="54">
        <f>(I4+K4+P2)-89.87</f>
        <v>9.2452948691187089</v>
      </c>
      <c r="N21" s="55">
        <f>(I4+K4+P2)/89.87-1</f>
        <v>0.1028740944599833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Curva</vt:lpstr>
      <vt:lpstr>Cete</vt:lpstr>
      <vt:lpstr>BonoM</vt:lpstr>
      <vt:lpstr>CURVA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 Ferrer Luis Noe</dc:creator>
  <cp:lastModifiedBy>Luis Noe Torres Ferrer</cp:lastModifiedBy>
  <dcterms:created xsi:type="dcterms:W3CDTF">2021-03-06T06:32:47Z</dcterms:created>
  <dcterms:modified xsi:type="dcterms:W3CDTF">2025-05-26T02:46:38Z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18143fd8-0d3e-4656-b376-f773b68c8e66</vt:lpwstr>
  </property>
</Properties>
</file>